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BIGL Key" sheetId="2" state="visible" r:id="rId4"/>
    <sheet name="Control Matrix" sheetId="3" state="visible" r:id="rId5"/>
    <sheet name="Summary" sheetId="4" state="visible" r:id="rId6"/>
  </sheets>
  <definedNames>
    <definedName function="false" hidden="true" localSheetId="2" name="_xlnm._FilterDatabase" vbProcedure="false">'Control Matrix'!$A$1:$N$40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<sst xmlns="http://schemas.openxmlformats.org/spreadsheetml/2006/main" count="584" uniqueCount="415">
  <si>
    <t xml:space="preserve">AI Governance Control Matrix — v2 (reconstructed)</t>
  </si>
  <si>
    <t xml:space="preserve">Scope: all AI use (chat, agentic, embedded) across all business units</t>
  </si>
  <si>
    <t xml:space="preserve">Frameworks referenced: ISO/IEC 42001, NIST AI RMF, EU AI Act, ISO 27001, SOC 2</t>
  </si>
  <si>
    <t xml:space="preserve">What changed from v1</t>
  </si>
  <si>
    <t xml:space="preserve">1. Organising logic: controls now scale by consequence (BIGL level), not by channel (Chat / Agentic / Both).</t>
  </si>
  <si>
    <t xml:space="preserve">2. New Governance Foundations domain: inventory, BIGL classification, impact assessment, named accountability.</t>
  </si>
  <si>
    <t xml:space="preserve">3. Evidence split into design evidence (the control exists) and operating evidence (the control works).</t>
  </si>
  <si>
    <t xml:space="preserve">4. Reasoning quality added: reasoning trace, validation before go-live, drift monitoring.</t>
  </si>
  <si>
    <t xml:space="preserve">5. Gaps filled: approval fatigue, multi-agent chains, transparency to affected people, runaway cost.</t>
  </si>
  <si>
    <t xml:space="preserve">6. Untestable or mislabelled controls rewritten (e.g. 'low-confidence output', Type labels).</t>
  </si>
  <si>
    <t xml:space="preserve">How to read the Control Matrix</t>
  </si>
  <si>
    <t xml:space="preserve">'Applies from BIGL' = the lowest consequence level at which the control is mandatory. It applies at every level above too.</t>
  </si>
  <si>
    <t xml:space="preserve">'Scaling by BIGL' = how the control's rigour increases at higher levels.</t>
  </si>
  <si>
    <t xml:space="preserve">Filter the 'Applies from BIGL' column to see the control set for a given use case.</t>
  </si>
  <si>
    <t xml:space="preserve">Legend</t>
  </si>
  <si>
    <t xml:space="preserve">Green row fill = new control.   Yellow row fill = revised control.   No fill = retained substantially unchanged.</t>
  </si>
  <si>
    <t xml:space="preserve">Type: Preventive / Detective / Corrective.</t>
  </si>
  <si>
    <t xml:space="preserve">Notes</t>
  </si>
  <si>
    <t xml:space="preserve">BIGL level definitions and autonomy ceilings are illustrative — calibrate to the final BIGL framework.</t>
  </si>
  <si>
    <t xml:space="preserve">Framework references are indicative mappings, not formal clause-level conformity claims; verify before external use.</t>
  </si>
  <si>
    <t xml:space="preserve">Editable fields: Owner, Frequency and Scaling text should be tailored to the organisation.</t>
  </si>
  <si>
    <t xml:space="preserve">BIGL level</t>
  </si>
  <si>
    <t xml:space="preserve">Name</t>
  </si>
  <si>
    <t xml:space="preserve">Governing method</t>
  </si>
  <si>
    <t xml:space="preserve">Typical consequence of error</t>
  </si>
  <si>
    <t xml:space="preserve">Max autonomy tier (HO-02)</t>
  </si>
  <si>
    <t xml:space="preserve">Ad-hoc</t>
  </si>
  <si>
    <t xml:space="preserve">Individual judgement</t>
  </si>
  <si>
    <t xml:space="preserve">Low; easily noticed and corrected; internal only</t>
  </si>
  <si>
    <t xml:space="preserve">Tier 3 (bounded autonomy)</t>
  </si>
  <si>
    <t xml:space="preserve">Deliberated</t>
  </si>
  <si>
    <t xml:space="preserve">PDCA cycle</t>
  </si>
  <si>
    <t xml:space="preserve">Moderate; affects work products or internal decisions; reversible</t>
  </si>
  <si>
    <t xml:space="preserve">Tier 3 within defined bounds</t>
  </si>
  <si>
    <t xml:space="preserve">Governed</t>
  </si>
  <si>
    <t xml:space="preserve">CIPDA + ROMER reasoning trace</t>
  </si>
  <si>
    <t xml:space="preserve">Significant; external, financial, legal or affecting individuals</t>
  </si>
  <si>
    <t xml:space="preserve">Tier 2 (approve)</t>
  </si>
  <si>
    <t xml:space="preserve">Prescriptive</t>
  </si>
  <si>
    <t xml:space="preserve">Prescribed procedure, dual control</t>
  </si>
  <si>
    <t xml:space="preserve">Severe or irreversible; regulated high-risk</t>
  </si>
  <si>
    <t xml:space="preserve">Tier 1 (suggest) unless exempted</t>
  </si>
  <si>
    <t xml:space="preserve">Illustrative — consequence descriptions and autonomy ceilings to be aligned with the final BIGL definitions.</t>
  </si>
  <si>
    <t xml:space="preserve">ID</t>
  </si>
  <si>
    <t xml:space="preserve">Domain</t>
  </si>
  <si>
    <t xml:space="preserve">Control</t>
  </si>
  <si>
    <t xml:space="preserve">Risk addressed</t>
  </si>
  <si>
    <t xml:space="preserve">Type</t>
  </si>
  <si>
    <t xml:space="preserve">Applies from BIGL</t>
  </si>
  <si>
    <t xml:space="preserve">Scaling by BIGL</t>
  </si>
  <si>
    <t xml:space="preserve">Accountable owner</t>
  </si>
  <si>
    <t xml:space="preserve">Design evidence</t>
  </si>
  <si>
    <t xml:space="preserve">Operating evidence</t>
  </si>
  <si>
    <t xml:space="preserve">Test frequency</t>
  </si>
  <si>
    <t xml:space="preserve">Framework mapping</t>
  </si>
  <si>
    <t xml:space="preserve">Status</t>
  </si>
  <si>
    <t xml:space="preserve">Change from v1</t>
  </si>
  <si>
    <t xml:space="preserve">AI-GV-01</t>
  </si>
  <si>
    <t xml:space="preserve">Governance Foundations</t>
  </si>
  <si>
    <t xml:space="preserve">AI system &amp; use-case register — every AI system and use case (including AI embedded in existing SaaS) recorded with accountable owner, purpose, data used, autonomy tier and BIGL level</t>
  </si>
  <si>
    <t xml:space="preserve">Shadow AI operates outside any control</t>
  </si>
  <si>
    <t xml:space="preserve">Preventive</t>
  </si>
  <si>
    <t xml:space="preserve">BIGL 1: register entry only. BIGL 2+: entry must link to classification record (GV-02). BIGL 3+: link to impact assessment (GV-03) and validation evidence (OI-07).</t>
  </si>
  <si>
    <t xml:space="preserve">Head of AI Governance</t>
  </si>
  <si>
    <t xml:space="preserve">Register schema &amp; procedure</t>
  </si>
  <si>
    <t xml:space="preserve">Quarterly reconciliation of register against procurement, SSO and expense data; unregistered use found and resolved</t>
  </si>
  <si>
    <t xml:space="preserve">Quarterly</t>
  </si>
  <si>
    <t xml:space="preserve">ISO 42001 (AI system inventory); NIST AI RMF GOVERN, MAP</t>
  </si>
  <si>
    <t xml:space="preserve">New</t>
  </si>
  <si>
    <t xml:space="preserve">Added: no inventory existed. Everything else depends on knowing what AI is in use.</t>
  </si>
  <si>
    <t xml:space="preserve">AI-GV-02</t>
  </si>
  <si>
    <t xml:space="preserve">Consequence classification (BIGL) — each use case classified by the consequence of an erroneous output or action, not by channel (chat vs agentic). Reclassified whenever scope, data or autonomy changes</t>
  </si>
  <si>
    <t xml:space="preserve">Controls applied disproportionately: too light where stakes are high, too heavy where they are low</t>
  </si>
  <si>
    <t xml:space="preserve">Classification itself determines scaling for every other control in this matrix.</t>
  </si>
  <si>
    <t xml:space="preserve">Use-case owner (classifies); Head of AI Governance (approves)</t>
  </si>
  <si>
    <t xml:space="preserve">BIGL classification criteria</t>
  </si>
  <si>
    <t xml:space="preserve">Classification record with written rationale per use case; sample re-performed by second assessor</t>
  </si>
  <si>
    <t xml:space="preserve">On onboarding, on scope change, annual review</t>
  </si>
  <si>
    <t xml:space="preserve">EU AI Act risk tiers; NIST AI RMF MAP; ISO 42001 risk assessment</t>
  </si>
  <si>
    <t xml:space="preserve">Replaces the Chat/Agentic/Both axis as the organising logic of the matrix.</t>
  </si>
  <si>
    <t xml:space="preserve">AI-GV-03</t>
  </si>
  <si>
    <t xml:space="preserve">Pre-deployment impact assessment — assess affected parties, fitness for purpose, failure modes and consequences before go-live</t>
  </si>
  <si>
    <t xml:space="preserve">A use case goes live that should not exist, or without understanding who it can harm</t>
  </si>
  <si>
    <t xml:space="preserve">BIGL 2: short-form assessment by owner. BIGL 3: full assessment, independent sign-off. BIGL 4: full assessment plus external/legal review; fundamental-rights impact assessment where legally required.</t>
  </si>
  <si>
    <t xml:space="preserve">Use-case owner</t>
  </si>
  <si>
    <t xml:space="preserve">Impact assessment template</t>
  </si>
  <si>
    <t xml:space="preserve">Completed assessment signed off before go-live; go-live blocked without it</t>
  </si>
  <si>
    <t xml:space="preserve">Before deployment; on material change</t>
  </si>
  <si>
    <t xml:space="preserve">ISO 42001 AI system impact assessment; EU AI Act deployer duties / FRIA; NIST AI RMF MAP</t>
  </si>
  <si>
    <t xml:space="preserve">Added: original matrix controlled changes to systems but never asked whether the use case should be deployed.</t>
  </si>
  <si>
    <t xml:space="preserve">AI-GV-04</t>
  </si>
  <si>
    <t xml:space="preserve">Named accountable individual — every use case and every control has a single named person accountable. Committees approve and oversee; they do not own</t>
  </si>
  <si>
    <t xml:space="preserve">Accountability diluted across a committee; nobody answers when a control fails</t>
  </si>
  <si>
    <t xml:space="preserve">Applies uniformly.</t>
  </si>
  <si>
    <t xml:space="preserve">RACI for AI governance</t>
  </si>
  <si>
    <t xml:space="preserve">Ownership field complete for every register entry and control; spot check that owners know they own it</t>
  </si>
  <si>
    <t xml:space="preserve">Annual</t>
  </si>
  <si>
    <t xml:space="preserve">ISO 42001 roles &amp; responsibilities; NIST AI RMF GOVERN</t>
  </si>
  <si>
    <t xml:space="preserve">Replaces 'AI Governance Committee' as owner of five controls.</t>
  </si>
  <si>
    <t xml:space="preserve">AI-DG-01</t>
  </si>
  <si>
    <t xml:space="preserve">Data Governance &amp; Confidentiality</t>
  </si>
  <si>
    <t xml:space="preserve">Sensitive data input restriction — prohibit PII/PHI/PCI/trade secrets in consumer-tier AI tools; route through approved enterprise instances with a DPA</t>
  </si>
  <si>
    <t xml:space="preserve">Sensitive data leaves organisational control</t>
  </si>
  <si>
    <t xml:space="preserve">Data Protection Officer</t>
  </si>
  <si>
    <t xml:space="preserve">DLP policy; approved-tool allowlist</t>
  </si>
  <si>
    <t xml:space="preserve">DLP block/alert log reviewed; allowlist exceptions approved</t>
  </si>
  <si>
    <t xml:space="preserve">Monthly log review</t>
  </si>
  <si>
    <t xml:space="preserve">ISO 27001; GDPR; SOC 2 CC6</t>
  </si>
  <si>
    <t xml:space="preserve">Retained</t>
  </si>
  <si>
    <t xml:space="preserve">Operating evidence added (log review), not just policy export.</t>
  </si>
  <si>
    <t xml:space="preserve">AI-DG-02</t>
  </si>
  <si>
    <t xml:space="preserve">Data residency &amp; retention alignment — contract specifies residency, retention window and training opt-out</t>
  </si>
  <si>
    <t xml:space="preserve">Data retained or trained on beyond agreed terms</t>
  </si>
  <si>
    <t xml:space="preserve">Legal / Procurement</t>
  </si>
  <si>
    <t xml:space="preserve">Signed DPA / vendor addendum</t>
  </si>
  <si>
    <t xml:space="preserve">Vendor attestation of opt-out status</t>
  </si>
  <si>
    <t xml:space="preserve">On contract and renewal</t>
  </si>
  <si>
    <t xml:space="preserve">GDPR; ISO 42001 third-party; SOC 2 CC9</t>
  </si>
  <si>
    <t xml:space="preserve">Unchanged in substance.</t>
  </si>
  <si>
    <t xml:space="preserve">AI-DG-03</t>
  </si>
  <si>
    <t xml:space="preserve">Output classification inheritance — AI-generated content automatically inherits the highest classification label of its source data</t>
  </si>
  <si>
    <t xml:space="preserve">Sensitive output mislabelled or over-shared</t>
  </si>
  <si>
    <t xml:space="preserve">BIGL 2+: automatic labelling. BIGL 3+: quarterly audit sample of labels.</t>
  </si>
  <si>
    <t xml:space="preserve">Data Governance Lead</t>
  </si>
  <si>
    <t xml:space="preserve">Labelling rule configuration</t>
  </si>
  <si>
    <t xml:space="preserve">Quarterly sample of AI outputs checked for correct label</t>
  </si>
  <si>
    <t xml:space="preserve">ISO 27001 information classification</t>
  </si>
  <si>
    <t xml:space="preserve">Revised</t>
  </si>
  <si>
    <t xml:space="preserve">Type corrected Detective → Preventive (the audit is the detective element). Now applies to all channels, not agentic only.</t>
  </si>
  <si>
    <t xml:space="preserve">AI-DG-04</t>
  </si>
  <si>
    <t xml:space="preserve">Retrieval scope limitation — any AI retrieving data (chat or agent) is bounded to what the invoking user is authorised to see</t>
  </si>
  <si>
    <t xml:space="preserve">AI bypasses access controls</t>
  </si>
  <si>
    <t xml:space="preserve">Applies wherever the AI retrieves data.</t>
  </si>
  <si>
    <t xml:space="preserve">IT Security</t>
  </si>
  <si>
    <t xml:space="preserve">Permission-inheritance design</t>
  </si>
  <si>
    <t xml:space="preserve">Access-scope test results: attempt to retrieve out-of-scope data</t>
  </si>
  <si>
    <t xml:space="preserve">On change; annual</t>
  </si>
  <si>
    <t xml:space="preserve">ISO 27001 access control; SOC 2 CC6</t>
  </si>
  <si>
    <t xml:space="preserve">Extended from agentic-only to any AI with retrieval (chat assistants over document stores have the same risk).</t>
  </si>
  <si>
    <t xml:space="preserve">AI-AC-01</t>
  </si>
  <si>
    <t xml:space="preserve">Access, Identity &amp; Authentication</t>
  </si>
  <si>
    <t xml:space="preserve">SSO/MFA enforcement — all AI platforms via corporate SSO+MFA; no shared or anonymous logins</t>
  </si>
  <si>
    <t xml:space="preserve">Unauthorised or unattributable use</t>
  </si>
  <si>
    <t xml:space="preserve">IdP configuration</t>
  </si>
  <si>
    <t xml:space="preserve">IdP provisioning report</t>
  </si>
  <si>
    <t xml:space="preserve">ISO 27001; SOC 2 CC6</t>
  </si>
  <si>
    <t xml:space="preserve">Unchanged.</t>
  </si>
  <si>
    <t xml:space="preserve">AI-AC-02</t>
  </si>
  <si>
    <t xml:space="preserve">Least-privilege AI credentials — any AI that acts runs under a scoped service account, not the user's full credentials</t>
  </si>
  <si>
    <t xml:space="preserve">Over-permissioned AI causes broader damage</t>
  </si>
  <si>
    <t xml:space="preserve">BIGL 2+: scoped accounts. BIGL 3+: time-limited tokens and permission review each quarter.</t>
  </si>
  <si>
    <t xml:space="preserve">Service-account design</t>
  </si>
  <si>
    <t xml:space="preserve">Service-account permission review</t>
  </si>
  <si>
    <t xml:space="preserve">Quarterly (BIGL 3+); annual otherwise</t>
  </si>
  <si>
    <t xml:space="preserve">Scaled by consequence rather than applied flatly.</t>
  </si>
  <si>
    <t xml:space="preserve">AI-AC-03</t>
  </si>
  <si>
    <t xml:space="preserve">Segregation of duties — AI-executed financial, HR or production transactions require a distinct human approver</t>
  </si>
  <si>
    <t xml:space="preserve">A single actor both triggers and approves</t>
  </si>
  <si>
    <t xml:space="preserve">BIGL 3: distinct approver. BIGL 4: dual approval.</t>
  </si>
  <si>
    <t xml:space="preserve">Internal Controls</t>
  </si>
  <si>
    <t xml:space="preserve">Approval-workflow configuration</t>
  </si>
  <si>
    <t xml:space="preserve">Sample of transactions showing distinct initiator and approver</t>
  </si>
  <si>
    <t xml:space="preserve">SOC 2 CC5; internal control frameworks</t>
  </si>
  <si>
    <t xml:space="preserve">Trigger changed from 'agentic' to BIGL 3+.</t>
  </si>
  <si>
    <t xml:space="preserve">AI-AC-04</t>
  </si>
  <si>
    <t xml:space="preserve">Periodic access recertification — review of human and AI identities with AI access</t>
  </si>
  <si>
    <t xml:space="preserve">Access outlives justification</t>
  </si>
  <si>
    <t xml:space="preserve">Detective</t>
  </si>
  <si>
    <t xml:space="preserve">BIGL 1–2: annual. BIGL 3+: quarterly.</t>
  </si>
  <si>
    <t xml:space="preserve">Recertification procedure</t>
  </si>
  <si>
    <t xml:space="preserve">Recertification sign-off</t>
  </si>
  <si>
    <t xml:space="preserve">Quarterly / annual</t>
  </si>
  <si>
    <t xml:space="preserve">Frequency scaled.</t>
  </si>
  <si>
    <t xml:space="preserve">AI-HO-01</t>
  </si>
  <si>
    <t xml:space="preserve">Human Oversight &amp; Autonomy Boundaries</t>
  </si>
  <si>
    <t xml:space="preserve">Human approval for irreversible actions — deletions, payments, sent messages and deployments require sign-off; approver is shown the proposed action and its basis, not just an approve button</t>
  </si>
  <si>
    <t xml:space="preserve">Autonomous action causes unrecoverable harm</t>
  </si>
  <si>
    <t xml:space="preserve">BIGL 2: approval for irreversible actions. BIGL 3+: approval plus visible reasoning trace (OI-05). BIGL 4: no irreversible AI action without dual approval.</t>
  </si>
  <si>
    <t xml:space="preserve">Business process owner</t>
  </si>
  <si>
    <t xml:space="preserve">Approval-gate configuration</t>
  </si>
  <si>
    <t xml:space="preserve">Approval-gate logs; sample showing basis was displayed</t>
  </si>
  <si>
    <t xml:space="preserve">EU AI Act human oversight; NIST AI RMF MANAGE</t>
  </si>
  <si>
    <t xml:space="preserve">Added requirement that the approver sees what they are approving.</t>
  </si>
  <si>
    <t xml:space="preserve">AI-HO-02</t>
  </si>
  <si>
    <t xml:space="preserve">Autonomy ceiling by BIGL level — each workflow tagged Tier 1 (suggest) / Tier 2 (approve) / Tier 3 (bounded autonomy); the maximum tier permitted is set by BIGL level</t>
  </si>
  <si>
    <t xml:space="preserve">Autonomy exceeds what the consequence level justifies</t>
  </si>
  <si>
    <t xml:space="preserve">BIGL 1: up to Tier 3. BIGL 2: up to Tier 3 within defined bounds. BIGL 3: up to Tier 2. BIGL 4: Tier 1 only unless formally exempted.</t>
  </si>
  <si>
    <t xml:space="preserve">Autonomy-tier register linked to use-case register</t>
  </si>
  <si>
    <t xml:space="preserve">Register reconciled against actual workflow configuration</t>
  </si>
  <si>
    <t xml:space="preserve">Annual; on change</t>
  </si>
  <si>
    <t xml:space="preserve">EU AI Act human oversight; ISO 42001</t>
  </si>
  <si>
    <t xml:space="preserve">Now linked to consequence level rather than a standalone agentic register. Illustrative ceilings — calibrate to your BIGL definitions.</t>
  </si>
  <si>
    <t xml:space="preserve">AI-HO-03</t>
  </si>
  <si>
    <t xml:space="preserve">Kill switch / interrupt — every AI process that acts can be paused or terminated mid-run</t>
  </si>
  <si>
    <t xml:space="preserve">Runaway AI cannot be stopped</t>
  </si>
  <si>
    <t xml:space="preserve">Corrective</t>
  </si>
  <si>
    <t xml:space="preserve">BIGL 2: tested annually. BIGL 3+: tested quarterly and after each major change.</t>
  </si>
  <si>
    <t xml:space="preserve">Engineering / Platform owner</t>
  </si>
  <si>
    <t xml:space="preserve">Interrupt design</t>
  </si>
  <si>
    <t xml:space="preserve">Interrupt-test record</t>
  </si>
  <si>
    <t xml:space="preserve">Per BIGL level</t>
  </si>
  <si>
    <t xml:space="preserve">NIST AI RMF MANAGE</t>
  </si>
  <si>
    <t xml:space="preserve">Annual-only testing was too thin for bounded autonomy.</t>
  </si>
  <si>
    <t xml:space="preserve">AI-HO-04</t>
  </si>
  <si>
    <t xml:space="preserve">Defined escalation triggers — outputs route to human review when specified conditions are met: missing or conflicting sources, out-of-scope request, failed rule-based check, or high-consequence category</t>
  </si>
  <si>
    <t xml:space="preserve">Wrong output reaches a decision unchecked</t>
  </si>
  <si>
    <t xml:space="preserve">BIGL 2: basic triggers. BIGL 3+: triggers documented per use case and tested.</t>
  </si>
  <si>
    <t xml:space="preserve">Trigger definitions per use case</t>
  </si>
  <si>
    <t xml:space="preserve">Escalation-queue review; test cases that should trigger escalation do so</t>
  </si>
  <si>
    <t xml:space="preserve">Replaced 'low-confidence output', which is untestable (model confidence is not reliable). Type Detective → Preventive.</t>
  </si>
  <si>
    <t xml:space="preserve">AI-HO-05</t>
  </si>
  <si>
    <t xml:space="preserve">Approval quality monitoring — monitor approval rates, time-to-approve and sampled review depth to detect rubber-stamping</t>
  </si>
  <si>
    <t xml:space="preserve">Human oversight degrades into formality (approval fatigue)</t>
  </si>
  <si>
    <t xml:space="preserve">BIGL 3: monthly metrics. BIGL 4: plus independent re-review of a sample.</t>
  </si>
  <si>
    <t xml:space="preserve">Metrics definition</t>
  </si>
  <si>
    <t xml:space="preserve">Approval metrics report; sample re-review findings</t>
  </si>
  <si>
    <t xml:space="preserve">Monthly</t>
  </si>
  <si>
    <t xml:space="preserve">EU AI Act human oversight (automation bias); NIST AI RMF MEASURE</t>
  </si>
  <si>
    <t xml:space="preserve">Added: a human gate is only a control if the human actually reviews.</t>
  </si>
  <si>
    <t xml:space="preserve">AI-OI-01</t>
  </si>
  <si>
    <t xml:space="preserve">Output Integrity &amp; Reasoning Quality</t>
  </si>
  <si>
    <t xml:space="preserve">Verification before reliance — AI content used in client, regulatory, financial or decision material is verified against sources before use</t>
  </si>
  <si>
    <t xml:space="preserve">Hallucinated or wrong content reaches an external party or a decision</t>
  </si>
  <si>
    <t xml:space="preserve">BIGL 2: author checks claims against sources. BIGL 3: independent reviewer. BIGL 4: prescribed checklist plus second reviewer.</t>
  </si>
  <si>
    <t xml:space="preserve">Content owner</t>
  </si>
  <si>
    <t xml:space="preserve">Verification standard per BIGL level</t>
  </si>
  <si>
    <t xml:space="preserve">Review sign-off with sources checked; sample re-verified</t>
  </si>
  <si>
    <t xml:space="preserve">Per output; quarterly sample</t>
  </si>
  <si>
    <t xml:space="preserve">NIST AI RMF MEASURE; ISO 42001</t>
  </si>
  <si>
    <t xml:space="preserve">Extended from chat-only to all channels (agents produce external content too). Scaled by consequence.</t>
  </si>
  <si>
    <t xml:space="preserve">AI-OI-02</t>
  </si>
  <si>
    <t xml:space="preserve">Tool-output sanitisation — retrieved documents and tool outputs treated as untrusted input before further reasoning or execution</t>
  </si>
  <si>
    <t xml:space="preserve">Prompt injection hijacks the AI</t>
  </si>
  <si>
    <t xml:space="preserve">Applies wherever the AI reads external content.</t>
  </si>
  <si>
    <t xml:space="preserve">Sanitisation design</t>
  </si>
  <si>
    <t xml:space="preserve">Injection test results</t>
  </si>
  <si>
    <t xml:space="preserve">NIST AI RMF MANAGE; OWASP LLM Top 10</t>
  </si>
  <si>
    <t xml:space="preserve">Scope widened beyond agents.</t>
  </si>
  <si>
    <t xml:space="preserve">AI-OI-03</t>
  </si>
  <si>
    <t xml:space="preserve">Version-locked change control — model and prompt changes go through change management and regression testing</t>
  </si>
  <si>
    <t xml:space="preserve">Silent model update changes behaviour in production</t>
  </si>
  <si>
    <t xml:space="preserve">BIGL 2: change ticket. BIGL 3+: regression test against validation case set (OI-07) before release.</t>
  </si>
  <si>
    <t xml:space="preserve">Change procedure</t>
  </si>
  <si>
    <t xml:space="preserve">Change ticket + regression report</t>
  </si>
  <si>
    <t xml:space="preserve">Per change</t>
  </si>
  <si>
    <t xml:space="preserve">SOC 2 CC8; ISO 42001</t>
  </si>
  <si>
    <t xml:space="preserve">Linked regression testing to the validation case set.</t>
  </si>
  <si>
    <t xml:space="preserve">AI-OI-04</t>
  </si>
  <si>
    <t xml:space="preserve">Bias &amp; fairness sampling — periodic sampling of outputs that support decisions about people (hiring, credit, performance)</t>
  </si>
  <si>
    <t xml:space="preserve">Systematic unfair outcome</t>
  </si>
  <si>
    <t xml:space="preserve">Mandatory for any use case making or supporting decisions about individuals; such use cases are classified BIGL 3 or above.</t>
  </si>
  <si>
    <t xml:space="preserve">Named fairness owner per use case</t>
  </si>
  <si>
    <t xml:space="preserve">Sampling methodology</t>
  </si>
  <si>
    <t xml:space="preserve">Quarterly fairness sample and actions</t>
  </si>
  <si>
    <t xml:space="preserve">EU AI Act; NIST AI RMF MEASURE</t>
  </si>
  <si>
    <t xml:space="preserve">Owner moved from committee to a named individual.</t>
  </si>
  <si>
    <t xml:space="preserve">AI-OI-05</t>
  </si>
  <si>
    <t xml:space="preserve">Reasoning trace — outputs retain a reconstructable record of sources used, steps taken, assumptions made and human decisions applied (e.g. ROMER)</t>
  </si>
  <si>
    <t xml:space="preserve">Decision cannot be explained, challenged or reconstructed after the fact</t>
  </si>
  <si>
    <t xml:space="preserve">BIGL 3: trace retained. BIGL 4: trace reviewed as part of approval.</t>
  </si>
  <si>
    <t xml:space="preserve">Trace specification</t>
  </si>
  <si>
    <t xml:space="preserve">Reconstruction test: independent reviewer rebuilds the basis for a sampled output from the trace alone</t>
  </si>
  <si>
    <t xml:space="preserve">Quarterly sample</t>
  </si>
  <si>
    <t xml:space="preserve">EU AI Act record-keeping; ISO 42001; NIST AI RMF MEASURE</t>
  </si>
  <si>
    <t xml:space="preserve">Added: original evidence proved controls existed, not that the AI's reasoning was sound.</t>
  </si>
  <si>
    <t xml:space="preserve">AI-OI-06</t>
  </si>
  <si>
    <t xml:space="preserve">Performance &amp; drift monitoring — defined quality metrics per use case, measured against a baseline in production</t>
  </si>
  <si>
    <t xml:space="preserve">Quality degrades unnoticed after go-live</t>
  </si>
  <si>
    <t xml:space="preserve">BIGL 2: periodic spot checks. BIGL 3+: defined metrics with thresholds and alerting.</t>
  </si>
  <si>
    <t xml:space="preserve">Metric definitions and baseline</t>
  </si>
  <si>
    <t xml:space="preserve">Monitoring report; threshold breaches actioned</t>
  </si>
  <si>
    <t xml:space="preserve">Monthly (BIGL 3+); quarterly otherwise</t>
  </si>
  <si>
    <t xml:space="preserve">NIST AI RMF MEASURE; ISO 42001 monitoring</t>
  </si>
  <si>
    <t xml:space="preserve">Added: nothing covered live performance.</t>
  </si>
  <si>
    <t xml:space="preserve">AI-OI-07</t>
  </si>
  <si>
    <t xml:space="preserve">Pre-deployment validation — use case tested against a representative case set with independently defined pass criteria before go-live</t>
  </si>
  <si>
    <t xml:space="preserve">System deployed without evidence it works for its purpose</t>
  </si>
  <si>
    <t xml:space="preserve">BIGL 2: small case set. BIGL 3+: representative case set with independent evaluation of results. BIGL 4: plus edge and adversarial cases.</t>
  </si>
  <si>
    <t xml:space="preserve">Case set and pass criteria</t>
  </si>
  <si>
    <t xml:space="preserve">Validation results signed off; retained as regression baseline</t>
  </si>
  <si>
    <t xml:space="preserve">Before deployment; on change</t>
  </si>
  <si>
    <t xml:space="preserve">NIST AI RMF MEASURE; ISO 42001 verification &amp; validation</t>
  </si>
  <si>
    <t xml:space="preserve">Added: original matrix had regression testing for changes but no initial fitness test.</t>
  </si>
  <si>
    <t xml:space="preserve">AI-TP-01</t>
  </si>
  <si>
    <t xml:space="preserve">Third-Party &amp; Model Risk</t>
  </si>
  <si>
    <t xml:space="preserve">Vendor due diligence — SOC 2 / ISO 27001 / ISO 42001 / sub-processor review before onboarding</t>
  </si>
  <si>
    <t xml:space="preserve">Onboarding a vendor with weak controls</t>
  </si>
  <si>
    <t xml:space="preserve">BIGL 1: standard security review. BIGL 3+: plus AI-specific questions (training data, evaluation, model change policy).</t>
  </si>
  <si>
    <t xml:space="preserve">Third-Party Risk team</t>
  </si>
  <si>
    <t xml:space="preserve">Due-diligence questionnaire</t>
  </si>
  <si>
    <t xml:space="preserve">Vendor assessment file</t>
  </si>
  <si>
    <t xml:space="preserve">On onboarding; annual for BIGL 3+</t>
  </si>
  <si>
    <t xml:space="preserve">SOC 2 CC9; ISO 42001 third-party</t>
  </si>
  <si>
    <t xml:space="preserve">Added ISO 42001 and AI-specific questions for higher levels.</t>
  </si>
  <si>
    <t xml:space="preserve">AI-TP-02</t>
  </si>
  <si>
    <t xml:space="preserve">Model / sub-processor change notification — vendor must notify of model swaps or new sub-processors</t>
  </si>
  <si>
    <t xml:space="preserve">Behaviour or data handling changes without awareness</t>
  </si>
  <si>
    <t xml:space="preserve">Applies uniformly; notification triggers OI-03 at BIGL 2+.</t>
  </si>
  <si>
    <t xml:space="preserve">Contract clause</t>
  </si>
  <si>
    <t xml:space="preserve">Notification log and resulting change tickets</t>
  </si>
  <si>
    <t xml:space="preserve">Ongoing</t>
  </si>
  <si>
    <t xml:space="preserve">SOC 2 CC9</t>
  </si>
  <si>
    <t xml:space="preserve">Linked to change control.</t>
  </si>
  <si>
    <t xml:space="preserve">AI-TP-03</t>
  </si>
  <si>
    <t xml:space="preserve">Exit &amp; data deletion — contract guarantees deletion and portability on termination</t>
  </si>
  <si>
    <t xml:space="preserve">Data remains with vendor after the relationship ends</t>
  </si>
  <si>
    <t xml:space="preserve">Deletion attestation</t>
  </si>
  <si>
    <t xml:space="preserve">On termination</t>
  </si>
  <si>
    <t xml:space="preserve">GDPR; ISO 27001</t>
  </si>
  <si>
    <t xml:space="preserve">AI-MA-01</t>
  </si>
  <si>
    <t xml:space="preserve">Monitoring, Logging &amp; Audit</t>
  </si>
  <si>
    <t xml:space="preserve">Prompt &amp; response logging</t>
  </si>
  <si>
    <t xml:space="preserve">No record to investigate a disputed output</t>
  </si>
  <si>
    <t xml:space="preserve">BIGL 1: usage metadata. BIGL 2: full prompt and response. BIGL 3+: tamper-evident storage.</t>
  </si>
  <si>
    <t xml:space="preserve">Logging configuration</t>
  </si>
  <si>
    <t xml:space="preserve">Log completeness sample</t>
  </si>
  <si>
    <t xml:space="preserve">EU AI Act record-keeping; SOC 2 CC7</t>
  </si>
  <si>
    <t xml:space="preserve">Scaled: full tamper-evident logging of everything is costly and unnecessary at low consequence.</t>
  </si>
  <si>
    <t xml:space="preserve">AI-MA-02</t>
  </si>
  <si>
    <t xml:space="preserve">Action audit trail — every AI-initiated action logged with a correlation ID back to the originating request</t>
  </si>
  <si>
    <t xml:space="preserve">Change cannot be traced to its originating prompt</t>
  </si>
  <si>
    <t xml:space="preserve">Applies wherever the AI acts.</t>
  </si>
  <si>
    <t xml:space="preserve">Correlation-ID design</t>
  </si>
  <si>
    <t xml:space="preserve">Correlation-ID audit sample</t>
  </si>
  <si>
    <t xml:space="preserve">SOC 2 CC7</t>
  </si>
  <si>
    <t xml:space="preserve">AI-MA-03</t>
  </si>
  <si>
    <t xml:space="preserve">Anomalous usage detection — alerting on bulk exports, off-hours spikes, repeated blocked prompts and runaway cost or consumption</t>
  </si>
  <si>
    <t xml:space="preserve">Misuse, compromise or runaway process goes unnoticed</t>
  </si>
  <si>
    <t xml:space="preserve">SIEM alert rules</t>
  </si>
  <si>
    <t xml:space="preserve">Alert triage log</t>
  </si>
  <si>
    <t xml:space="preserve">SOC 2 CC7; ISO 27001</t>
  </si>
  <si>
    <t xml:space="preserve">Added runaway cost/consumption.</t>
  </si>
  <si>
    <t xml:space="preserve">AI-MA-04</t>
  </si>
  <si>
    <t xml:space="preserve">Log retention per regulatory schedule — minimum 12 months or longer where required</t>
  </si>
  <si>
    <t xml:space="preserve">Evidence unavailable for audit or regulator</t>
  </si>
  <si>
    <t xml:space="preserve">BIGL 3+: retention aligned to the life of the decision it supports.</t>
  </si>
  <si>
    <t xml:space="preserve">Records Management</t>
  </si>
  <si>
    <t xml:space="preserve">Retention policy</t>
  </si>
  <si>
    <t xml:space="preserve">Storage audit</t>
  </si>
  <si>
    <t xml:space="preserve">EU AI Act record-keeping</t>
  </si>
  <si>
    <t xml:space="preserve">Retention now tied to decision lifespan at higher levels.</t>
  </si>
  <si>
    <t xml:space="preserve">AI-MA-05</t>
  </si>
  <si>
    <t xml:space="preserve">Multi-agent chain traceability — when AI calls other AI, the originating request ID propagates and the most restrictive permissions and BIGL level in the chain apply</t>
  </si>
  <si>
    <t xml:space="preserve">Accountability and permissions lost across agent-to-agent hand-offs</t>
  </si>
  <si>
    <t xml:space="preserve">Applies wherever AI invokes other AI.</t>
  </si>
  <si>
    <t xml:space="preserve">Chain design standard</t>
  </si>
  <si>
    <t xml:space="preserve">Chain trace test</t>
  </si>
  <si>
    <t xml:space="preserve">Added: multi-agent chains were not addressed.</t>
  </si>
  <si>
    <t xml:space="preserve">AI-IR-01</t>
  </si>
  <si>
    <t xml:space="preserve">Incident Response &amp; Model Failure</t>
  </si>
  <si>
    <t xml:space="preserve">AI-specific incident category — IR plan covers data leakage, erroneous autonomous action and harmful output</t>
  </si>
  <si>
    <t xml:space="preserve">Incident mishandled with no fitting playbook</t>
  </si>
  <si>
    <t xml:space="preserve">Incident Response Lead</t>
  </si>
  <si>
    <t xml:space="preserve">IR plan</t>
  </si>
  <si>
    <t xml:space="preserve">IR plan revision history; exercise record</t>
  </si>
  <si>
    <t xml:space="preserve">ISO 27001; ISO 42001</t>
  </si>
  <si>
    <t xml:space="preserve">AI-IR-02</t>
  </si>
  <si>
    <t xml:space="preserve">Rollback procedure — documented undo for changes made by AI</t>
  </si>
  <si>
    <t xml:space="preserve">AI error cannot be reversed quickly</t>
  </si>
  <si>
    <t xml:space="preserve">BIGL 2: documented. BIGL 3+: drilled.</t>
  </si>
  <si>
    <t xml:space="preserve">Rollback runbook</t>
  </si>
  <si>
    <t xml:space="preserve">Drill record</t>
  </si>
  <si>
    <t xml:space="preserve">Annual (BIGL 3+)</t>
  </si>
  <si>
    <t xml:space="preserve">Scope widened beyond agents to any AI-initiated change.</t>
  </si>
  <si>
    <t xml:space="preserve">AI-IR-03</t>
  </si>
  <si>
    <t xml:space="preserve">Post-incident review — review of prompt, configuration, permissions and BIGL classification after any AI incident</t>
  </si>
  <si>
    <t xml:space="preserve">Root cause recurs unexamined</t>
  </si>
  <si>
    <t xml:space="preserve">Applies uniformly; outcome may trigger reclassification (GV-02).</t>
  </si>
  <si>
    <t xml:space="preserve">Named incident owner</t>
  </si>
  <si>
    <t xml:space="preserve">Review template</t>
  </si>
  <si>
    <t xml:space="preserve">Post-incident review and closure record</t>
  </si>
  <si>
    <t xml:space="preserve">Per incident</t>
  </si>
  <si>
    <t xml:space="preserve">ISO 42001 nonconformity &amp; corrective action</t>
  </si>
  <si>
    <t xml:space="preserve">Adds reclassification step; owner moved from committee.</t>
  </si>
  <si>
    <t xml:space="preserve">AI-RC-01</t>
  </si>
  <si>
    <t xml:space="preserve">Regulatory &amp; Policy Alignment</t>
  </si>
  <si>
    <t xml:space="preserve">Acceptable use policy — published, staff-acknowledged policy on approved tools and prohibited uses</t>
  </si>
  <si>
    <t xml:space="preserve">Staff use AI without knowing the boundaries</t>
  </si>
  <si>
    <t xml:space="preserve">Compliance</t>
  </si>
  <si>
    <t xml:space="preserve">Policy</t>
  </si>
  <si>
    <t xml:space="preserve">Acknowledgement tracker</t>
  </si>
  <si>
    <t xml:space="preserve">ISO 42001 AI policy</t>
  </si>
  <si>
    <t xml:space="preserve">AI-RC-02</t>
  </si>
  <si>
    <t xml:space="preserve">Regulatory mapping — each use case mapped to applicable regulation (e.g. EU AI Act tier) and NIST AI RMF functions; feeds BIGL classification</t>
  </si>
  <si>
    <t xml:space="preserve">High-risk use case lacks proportionate controls</t>
  </si>
  <si>
    <t xml:space="preserve">Applies uniformly; a regulatory high-risk designation sets a BIGL floor.</t>
  </si>
  <si>
    <t xml:space="preserve">Mapping method</t>
  </si>
  <si>
    <t xml:space="preserve">Mapping recorded on register entry</t>
  </si>
  <si>
    <t xml:space="preserve">On onboarding; on regulatory change</t>
  </si>
  <si>
    <t xml:space="preserve">EU AI Act; NIST AI RMF</t>
  </si>
  <si>
    <t xml:space="preserve">Extended from agentic-only; linked to GV-02.</t>
  </si>
  <si>
    <t xml:space="preserve">AI-RC-03</t>
  </si>
  <si>
    <t xml:space="preserve">AI literacy training — role-based training on safe use, data limits, hallucination and bias</t>
  </si>
  <si>
    <t xml:space="preserve">Preventable misuse from lack of awareness</t>
  </si>
  <si>
    <t xml:space="preserve">All staff: baseline. Approvers of BIGL 3+ outputs: additional training on what to check.</t>
  </si>
  <si>
    <t xml:space="preserve">Compliance / L&amp;D</t>
  </si>
  <si>
    <t xml:space="preserve">Training content</t>
  </si>
  <si>
    <t xml:space="preserve">Completion report</t>
  </si>
  <si>
    <t xml:space="preserve">EU AI Act AI literacy; ISO 42001 competence</t>
  </si>
  <si>
    <t xml:space="preserve">Approvers now get specific training.</t>
  </si>
  <si>
    <t xml:space="preserve">AI-RC-04</t>
  </si>
  <si>
    <t xml:space="preserve">Transparency to affected people — disclose when AI materially contributes to a decision about someone or produces content presented to them</t>
  </si>
  <si>
    <t xml:space="preserve">People affected by AI decisions are unaware and cannot challenge</t>
  </si>
  <si>
    <t xml:space="preserve">BIGL 2: disclosure where content is AI-generated. BIGL 3+: explanation available on request.</t>
  </si>
  <si>
    <t xml:space="preserve">Disclosure standard</t>
  </si>
  <si>
    <t xml:space="preserve">Sample of communications checked for disclosure</t>
  </si>
  <si>
    <t xml:space="preserve">EU AI Act transparency &amp; deployer duties; GDPR</t>
  </si>
  <si>
    <t xml:space="preserve">Added: no control covered the people on the receiving end.</t>
  </si>
  <si>
    <t xml:space="preserve">Controls mandatory at each BIGL level (cumulative) — calculated from Control Matrix</t>
  </si>
  <si>
    <t xml:space="preserve">BIGL 1</t>
  </si>
  <si>
    <t xml:space="preserve">BIGL 2</t>
  </si>
  <si>
    <t xml:space="preserve">BIGL 3</t>
  </si>
  <si>
    <t xml:space="preserve">BIGL 4</t>
  </si>
  <si>
    <t xml:space="preserve">Total</t>
  </si>
  <si>
    <t xml:space="preserve">v1 had 30 controls applied uniformly within each channel; v2 scales the control set with consequence.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</si>
</sst>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i val="true"/>
      <sz val="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E2EFDA"/>
        <bgColor rgb="FFFFF2CC"/>
      </patternFill>
    </fill>
    <fill>
      <patternFill patternType="solid">
        <fgColor rgb="FFFFF2CC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A5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 t="s">
        <v>8</v>
      </c>
    </row>
    <row r="11" customFormat="false" ht="15" hidden="false" customHeight="false" outlineLevel="0" collapsed="false">
      <c r="A11" s="2" t="s">
        <v>9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/>
    </row>
    <row r="18" customFormat="false" ht="15" hidden="false" customHeight="false" outlineLevel="0" collapsed="false">
      <c r="A18" s="3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2"/>
    </row>
    <row r="22" customFormat="false" ht="15" hidden="false" customHeight="false" outlineLevel="0" collapsed="false">
      <c r="A22" s="3" t="s">
        <v>17</v>
      </c>
    </row>
    <row r="23" customFormat="false" ht="15" hidden="false" customHeight="false" outlineLevel="0" collapsed="false">
      <c r="A23" s="2" t="s">
        <v>18</v>
      </c>
    </row>
    <row r="24" customFormat="false" ht="15" hidden="false" customHeight="false" outlineLevel="0" collapsed="false">
      <c r="A24" s="2" t="s">
        <v>19</v>
      </c>
    </row>
    <row r="25" customFormat="false" ht="15" hidden="false" customHeight="false" outlineLevel="0" collapsed="false">
      <c r="A25" s="2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50"/>
    <col collapsed="false" customWidth="true" hidden="false" outlineLevel="0" max="5" min="5" style="0" width="30"/>
  </cols>
  <sheetData>
    <row r="1" customFormat="false" ht="15" hidden="false" customHeight="false" outlineLevel="0" collapsed="false">
      <c r="A1" s="4" t="s">
        <v>21</v>
      </c>
      <c r="B1" s="4" t="s">
        <v>22</v>
      </c>
      <c r="C1" s="4" t="s">
        <v>23</v>
      </c>
      <c r="D1" s="4" t="s">
        <v>24</v>
      </c>
      <c r="E1" s="4" t="s">
        <v>25</v>
      </c>
    </row>
    <row r="2" customFormat="false" ht="15" hidden="false" customHeight="false" outlineLevel="0" collapsed="false">
      <c r="A2" s="5" t="n">
        <v>1</v>
      </c>
      <c r="B2" s="6" t="s">
        <v>26</v>
      </c>
      <c r="C2" s="6" t="s">
        <v>27</v>
      </c>
      <c r="D2" s="6" t="s">
        <v>28</v>
      </c>
      <c r="E2" s="6" t="s">
        <v>29</v>
      </c>
    </row>
    <row r="3" customFormat="false" ht="15" hidden="false" customHeight="false" outlineLevel="0" collapsed="false">
      <c r="A3" s="5" t="n">
        <v>2</v>
      </c>
      <c r="B3" s="6" t="s">
        <v>30</v>
      </c>
      <c r="C3" s="6" t="s">
        <v>31</v>
      </c>
      <c r="D3" s="6" t="s">
        <v>32</v>
      </c>
      <c r="E3" s="6" t="s">
        <v>33</v>
      </c>
    </row>
    <row r="4" customFormat="false" ht="15" hidden="false" customHeight="false" outlineLevel="0" collapsed="false">
      <c r="A4" s="5" t="n">
        <v>3</v>
      </c>
      <c r="B4" s="6" t="s">
        <v>34</v>
      </c>
      <c r="C4" s="6" t="s">
        <v>35</v>
      </c>
      <c r="D4" s="6" t="s">
        <v>36</v>
      </c>
      <c r="E4" s="6" t="s">
        <v>37</v>
      </c>
    </row>
    <row r="5" customFormat="false" ht="15" hidden="false" customHeight="false" outlineLevel="0" collapsed="false">
      <c r="A5" s="5" t="n">
        <v>4</v>
      </c>
      <c r="B5" s="6" t="s">
        <v>38</v>
      </c>
      <c r="C5" s="6" t="s">
        <v>39</v>
      </c>
      <c r="D5" s="6" t="s">
        <v>40</v>
      </c>
      <c r="E5" s="6" t="s">
        <v>41</v>
      </c>
    </row>
    <row r="7" customFormat="false" ht="15" hidden="false" customHeight="false" outlineLevel="0" collapsed="false">
      <c r="A7" s="7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2"/>
    <col collapsed="false" customWidth="true" hidden="false" outlineLevel="0" max="3" min="3" style="0" width="48"/>
    <col collapsed="false" customWidth="true" hidden="false" outlineLevel="0" max="4" min="4" style="0" width="30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45"/>
    <col collapsed="false" customWidth="true" hidden="false" outlineLevel="0" max="8" min="8" style="0" width="20"/>
    <col collapsed="false" customWidth="true" hidden="false" outlineLevel="0" max="9" min="9" style="0" width="24"/>
    <col collapsed="false" customWidth="true" hidden="false" outlineLevel="0" max="10" min="10" style="0" width="34"/>
    <col collapsed="false" customWidth="true" hidden="false" outlineLevel="0" max="11" min="11" style="0" width="16"/>
    <col collapsed="false" customWidth="true" hidden="false" outlineLevel="0" max="12" min="12" style="0" width="28"/>
    <col collapsed="false" customWidth="true" hidden="false" outlineLevel="0" max="13" min="13" style="0" width="9"/>
    <col collapsed="false" customWidth="true" hidden="false" outlineLevel="0" max="14" min="14" style="0" width="38"/>
  </cols>
  <sheetData>
    <row r="1" customFormat="false" ht="35.05" hidden="false" customHeight="false" outlineLevel="0" collapsed="false">
      <c r="A1" s="4" t="s">
        <v>43</v>
      </c>
      <c r="B1" s="4" t="s">
        <v>44</v>
      </c>
      <c r="C1" s="4" t="s">
        <v>45</v>
      </c>
      <c r="D1" s="4" t="s">
        <v>46</v>
      </c>
      <c r="E1" s="4" t="s">
        <v>47</v>
      </c>
      <c r="F1" s="4" t="s">
        <v>48</v>
      </c>
      <c r="G1" s="4" t="s">
        <v>49</v>
      </c>
      <c r="H1" s="4" t="s">
        <v>50</v>
      </c>
      <c r="I1" s="4" t="s">
        <v>51</v>
      </c>
      <c r="J1" s="4" t="s">
        <v>52</v>
      </c>
      <c r="K1" s="4" t="s">
        <v>53</v>
      </c>
      <c r="L1" s="4" t="s">
        <v>54</v>
      </c>
      <c r="M1" s="4" t="s">
        <v>55</v>
      </c>
      <c r="N1" s="4" t="s">
        <v>56</v>
      </c>
    </row>
    <row r="2" customFormat="false" ht="43.25" hidden="false" customHeight="false" outlineLevel="0" collapsed="false">
      <c r="A2" s="8" t="s">
        <v>57</v>
      </c>
      <c r="B2" s="9" t="s">
        <v>58</v>
      </c>
      <c r="C2" s="9" t="s">
        <v>59</v>
      </c>
      <c r="D2" s="9" t="s">
        <v>60</v>
      </c>
      <c r="E2" s="10" t="s">
        <v>61</v>
      </c>
      <c r="F2" s="10" t="n">
        <v>1</v>
      </c>
      <c r="G2" s="9" t="s">
        <v>62</v>
      </c>
      <c r="H2" s="9" t="s">
        <v>63</v>
      </c>
      <c r="I2" s="9" t="s">
        <v>64</v>
      </c>
      <c r="J2" s="9" t="s">
        <v>65</v>
      </c>
      <c r="K2" s="9" t="s">
        <v>66</v>
      </c>
      <c r="L2" s="9" t="s">
        <v>67</v>
      </c>
      <c r="M2" s="10" t="s">
        <v>68</v>
      </c>
      <c r="N2" s="9" t="s">
        <v>69</v>
      </c>
    </row>
    <row r="3" customFormat="false" ht="43.25" hidden="false" customHeight="false" outlineLevel="0" collapsed="false">
      <c r="A3" s="8" t="s">
        <v>70</v>
      </c>
      <c r="B3" s="9" t="s">
        <v>58</v>
      </c>
      <c r="C3" s="9" t="s">
        <v>71</v>
      </c>
      <c r="D3" s="9" t="s">
        <v>72</v>
      </c>
      <c r="E3" s="10" t="s">
        <v>61</v>
      </c>
      <c r="F3" s="10" t="n">
        <v>1</v>
      </c>
      <c r="G3" s="9" t="s">
        <v>73</v>
      </c>
      <c r="H3" s="9" t="s">
        <v>74</v>
      </c>
      <c r="I3" s="9" t="s">
        <v>75</v>
      </c>
      <c r="J3" s="9" t="s">
        <v>76</v>
      </c>
      <c r="K3" s="9" t="s">
        <v>77</v>
      </c>
      <c r="L3" s="9" t="s">
        <v>78</v>
      </c>
      <c r="M3" s="10" t="s">
        <v>68</v>
      </c>
      <c r="N3" s="9" t="s">
        <v>79</v>
      </c>
    </row>
    <row r="4" customFormat="false" ht="43.25" hidden="false" customHeight="false" outlineLevel="0" collapsed="false">
      <c r="A4" s="8" t="s">
        <v>80</v>
      </c>
      <c r="B4" s="9" t="s">
        <v>58</v>
      </c>
      <c r="C4" s="9" t="s">
        <v>81</v>
      </c>
      <c r="D4" s="9" t="s">
        <v>82</v>
      </c>
      <c r="E4" s="10" t="s">
        <v>61</v>
      </c>
      <c r="F4" s="10" t="n">
        <v>2</v>
      </c>
      <c r="G4" s="9" t="s">
        <v>83</v>
      </c>
      <c r="H4" s="9" t="s">
        <v>84</v>
      </c>
      <c r="I4" s="9" t="s">
        <v>85</v>
      </c>
      <c r="J4" s="9" t="s">
        <v>86</v>
      </c>
      <c r="K4" s="9" t="s">
        <v>87</v>
      </c>
      <c r="L4" s="9" t="s">
        <v>88</v>
      </c>
      <c r="M4" s="10" t="s">
        <v>68</v>
      </c>
      <c r="N4" s="9" t="s">
        <v>89</v>
      </c>
    </row>
    <row r="5" customFormat="false" ht="32.8" hidden="false" customHeight="false" outlineLevel="0" collapsed="false">
      <c r="A5" s="8" t="s">
        <v>90</v>
      </c>
      <c r="B5" s="9" t="s">
        <v>58</v>
      </c>
      <c r="C5" s="9" t="s">
        <v>91</v>
      </c>
      <c r="D5" s="9" t="s">
        <v>92</v>
      </c>
      <c r="E5" s="10" t="s">
        <v>61</v>
      </c>
      <c r="F5" s="10" t="n">
        <v>1</v>
      </c>
      <c r="G5" s="9" t="s">
        <v>93</v>
      </c>
      <c r="H5" s="9" t="s">
        <v>63</v>
      </c>
      <c r="I5" s="9" t="s">
        <v>94</v>
      </c>
      <c r="J5" s="9" t="s">
        <v>95</v>
      </c>
      <c r="K5" s="9" t="s">
        <v>96</v>
      </c>
      <c r="L5" s="9" t="s">
        <v>97</v>
      </c>
      <c r="M5" s="10" t="s">
        <v>68</v>
      </c>
      <c r="N5" s="9" t="s">
        <v>98</v>
      </c>
    </row>
    <row r="6" customFormat="false" ht="32.8" hidden="false" customHeight="false" outlineLevel="0" collapsed="false">
      <c r="A6" s="11" t="s">
        <v>99</v>
      </c>
      <c r="B6" s="6" t="s">
        <v>100</v>
      </c>
      <c r="C6" s="6" t="s">
        <v>101</v>
      </c>
      <c r="D6" s="6" t="s">
        <v>102</v>
      </c>
      <c r="E6" s="5" t="s">
        <v>61</v>
      </c>
      <c r="F6" s="5" t="n">
        <v>1</v>
      </c>
      <c r="G6" s="6" t="s">
        <v>93</v>
      </c>
      <c r="H6" s="6" t="s">
        <v>103</v>
      </c>
      <c r="I6" s="6" t="s">
        <v>104</v>
      </c>
      <c r="J6" s="6" t="s">
        <v>105</v>
      </c>
      <c r="K6" s="6" t="s">
        <v>106</v>
      </c>
      <c r="L6" s="6" t="s">
        <v>107</v>
      </c>
      <c r="M6" s="5" t="s">
        <v>108</v>
      </c>
      <c r="N6" s="6" t="s">
        <v>109</v>
      </c>
    </row>
    <row r="7" customFormat="false" ht="22.35" hidden="false" customHeight="false" outlineLevel="0" collapsed="false">
      <c r="A7" s="11" t="s">
        <v>110</v>
      </c>
      <c r="B7" s="6" t="s">
        <v>100</v>
      </c>
      <c r="C7" s="6" t="s">
        <v>111</v>
      </c>
      <c r="D7" s="6" t="s">
        <v>112</v>
      </c>
      <c r="E7" s="5" t="s">
        <v>61</v>
      </c>
      <c r="F7" s="5" t="n">
        <v>1</v>
      </c>
      <c r="G7" s="6" t="s">
        <v>93</v>
      </c>
      <c r="H7" s="6" t="s">
        <v>113</v>
      </c>
      <c r="I7" s="6" t="s">
        <v>114</v>
      </c>
      <c r="J7" s="6" t="s">
        <v>115</v>
      </c>
      <c r="K7" s="6" t="s">
        <v>116</v>
      </c>
      <c r="L7" s="6" t="s">
        <v>117</v>
      </c>
      <c r="M7" s="5" t="s">
        <v>108</v>
      </c>
      <c r="N7" s="6" t="s">
        <v>118</v>
      </c>
    </row>
    <row r="8" customFormat="false" ht="32.8" hidden="false" customHeight="false" outlineLevel="0" collapsed="false">
      <c r="A8" s="12" t="s">
        <v>119</v>
      </c>
      <c r="B8" s="13" t="s">
        <v>100</v>
      </c>
      <c r="C8" s="13" t="s">
        <v>120</v>
      </c>
      <c r="D8" s="13" t="s">
        <v>121</v>
      </c>
      <c r="E8" s="14" t="s">
        <v>61</v>
      </c>
      <c r="F8" s="14" t="n">
        <v>2</v>
      </c>
      <c r="G8" s="13" t="s">
        <v>122</v>
      </c>
      <c r="H8" s="13" t="s">
        <v>123</v>
      </c>
      <c r="I8" s="13" t="s">
        <v>124</v>
      </c>
      <c r="J8" s="13" t="s">
        <v>125</v>
      </c>
      <c r="K8" s="13" t="s">
        <v>66</v>
      </c>
      <c r="L8" s="13" t="s">
        <v>126</v>
      </c>
      <c r="M8" s="14" t="s">
        <v>127</v>
      </c>
      <c r="N8" s="13" t="s">
        <v>128</v>
      </c>
    </row>
    <row r="9" customFormat="false" ht="32.8" hidden="false" customHeight="false" outlineLevel="0" collapsed="false">
      <c r="A9" s="12" t="s">
        <v>129</v>
      </c>
      <c r="B9" s="13" t="s">
        <v>100</v>
      </c>
      <c r="C9" s="13" t="s">
        <v>130</v>
      </c>
      <c r="D9" s="13" t="s">
        <v>131</v>
      </c>
      <c r="E9" s="14" t="s">
        <v>61</v>
      </c>
      <c r="F9" s="14" t="n">
        <v>1</v>
      </c>
      <c r="G9" s="13" t="s">
        <v>132</v>
      </c>
      <c r="H9" s="13" t="s">
        <v>133</v>
      </c>
      <c r="I9" s="13" t="s">
        <v>134</v>
      </c>
      <c r="J9" s="13" t="s">
        <v>135</v>
      </c>
      <c r="K9" s="13" t="s">
        <v>136</v>
      </c>
      <c r="L9" s="13" t="s">
        <v>137</v>
      </c>
      <c r="M9" s="14" t="s">
        <v>127</v>
      </c>
      <c r="N9" s="13" t="s">
        <v>138</v>
      </c>
    </row>
    <row r="10" customFormat="false" ht="22.35" hidden="false" customHeight="false" outlineLevel="0" collapsed="false">
      <c r="A10" s="11" t="s">
        <v>139</v>
      </c>
      <c r="B10" s="6" t="s">
        <v>140</v>
      </c>
      <c r="C10" s="6" t="s">
        <v>141</v>
      </c>
      <c r="D10" s="6" t="s">
        <v>142</v>
      </c>
      <c r="E10" s="5" t="s">
        <v>61</v>
      </c>
      <c r="F10" s="5" t="n">
        <v>1</v>
      </c>
      <c r="G10" s="6" t="s">
        <v>93</v>
      </c>
      <c r="H10" s="6" t="s">
        <v>133</v>
      </c>
      <c r="I10" s="6" t="s">
        <v>143</v>
      </c>
      <c r="J10" s="6" t="s">
        <v>144</v>
      </c>
      <c r="K10" s="6" t="s">
        <v>66</v>
      </c>
      <c r="L10" s="6" t="s">
        <v>145</v>
      </c>
      <c r="M10" s="5" t="s">
        <v>108</v>
      </c>
      <c r="N10" s="6" t="s">
        <v>146</v>
      </c>
    </row>
    <row r="11" customFormat="false" ht="22.35" hidden="false" customHeight="false" outlineLevel="0" collapsed="false">
      <c r="A11" s="12" t="s">
        <v>147</v>
      </c>
      <c r="B11" s="13" t="s">
        <v>140</v>
      </c>
      <c r="C11" s="13" t="s">
        <v>148</v>
      </c>
      <c r="D11" s="13" t="s">
        <v>149</v>
      </c>
      <c r="E11" s="14" t="s">
        <v>61</v>
      </c>
      <c r="F11" s="14" t="n">
        <v>2</v>
      </c>
      <c r="G11" s="13" t="s">
        <v>150</v>
      </c>
      <c r="H11" s="13" t="s">
        <v>133</v>
      </c>
      <c r="I11" s="13" t="s">
        <v>151</v>
      </c>
      <c r="J11" s="13" t="s">
        <v>152</v>
      </c>
      <c r="K11" s="13" t="s">
        <v>153</v>
      </c>
      <c r="L11" s="13" t="s">
        <v>145</v>
      </c>
      <c r="M11" s="14" t="s">
        <v>127</v>
      </c>
      <c r="N11" s="13" t="s">
        <v>154</v>
      </c>
    </row>
    <row r="12" customFormat="false" ht="22.35" hidden="false" customHeight="false" outlineLevel="0" collapsed="false">
      <c r="A12" s="12" t="s">
        <v>155</v>
      </c>
      <c r="B12" s="13" t="s">
        <v>140</v>
      </c>
      <c r="C12" s="13" t="s">
        <v>156</v>
      </c>
      <c r="D12" s="13" t="s">
        <v>157</v>
      </c>
      <c r="E12" s="14" t="s">
        <v>61</v>
      </c>
      <c r="F12" s="14" t="n">
        <v>3</v>
      </c>
      <c r="G12" s="13" t="s">
        <v>158</v>
      </c>
      <c r="H12" s="13" t="s">
        <v>159</v>
      </c>
      <c r="I12" s="13" t="s">
        <v>160</v>
      </c>
      <c r="J12" s="13" t="s">
        <v>161</v>
      </c>
      <c r="K12" s="13" t="s">
        <v>66</v>
      </c>
      <c r="L12" s="13" t="s">
        <v>162</v>
      </c>
      <c r="M12" s="14" t="s">
        <v>127</v>
      </c>
      <c r="N12" s="13" t="s">
        <v>163</v>
      </c>
    </row>
    <row r="13" customFormat="false" ht="22.35" hidden="false" customHeight="false" outlineLevel="0" collapsed="false">
      <c r="A13" s="12" t="s">
        <v>164</v>
      </c>
      <c r="B13" s="13" t="s">
        <v>140</v>
      </c>
      <c r="C13" s="13" t="s">
        <v>165</v>
      </c>
      <c r="D13" s="13" t="s">
        <v>166</v>
      </c>
      <c r="E13" s="14" t="s">
        <v>167</v>
      </c>
      <c r="F13" s="14" t="n">
        <v>1</v>
      </c>
      <c r="G13" s="13" t="s">
        <v>168</v>
      </c>
      <c r="H13" s="13" t="s">
        <v>133</v>
      </c>
      <c r="I13" s="13" t="s">
        <v>169</v>
      </c>
      <c r="J13" s="13" t="s">
        <v>170</v>
      </c>
      <c r="K13" s="13" t="s">
        <v>171</v>
      </c>
      <c r="L13" s="13" t="s">
        <v>145</v>
      </c>
      <c r="M13" s="14" t="s">
        <v>127</v>
      </c>
      <c r="N13" s="13" t="s">
        <v>172</v>
      </c>
    </row>
    <row r="14" customFormat="false" ht="43.25" hidden="false" customHeight="false" outlineLevel="0" collapsed="false">
      <c r="A14" s="12" t="s">
        <v>173</v>
      </c>
      <c r="B14" s="13" t="s">
        <v>174</v>
      </c>
      <c r="C14" s="13" t="s">
        <v>175</v>
      </c>
      <c r="D14" s="13" t="s">
        <v>176</v>
      </c>
      <c r="E14" s="14" t="s">
        <v>61</v>
      </c>
      <c r="F14" s="14" t="n">
        <v>2</v>
      </c>
      <c r="G14" s="13" t="s">
        <v>177</v>
      </c>
      <c r="H14" s="13" t="s">
        <v>178</v>
      </c>
      <c r="I14" s="13" t="s">
        <v>179</v>
      </c>
      <c r="J14" s="13" t="s">
        <v>180</v>
      </c>
      <c r="K14" s="13" t="s">
        <v>66</v>
      </c>
      <c r="L14" s="13" t="s">
        <v>181</v>
      </c>
      <c r="M14" s="14" t="s">
        <v>127</v>
      </c>
      <c r="N14" s="13" t="s">
        <v>182</v>
      </c>
    </row>
    <row r="15" customFormat="false" ht="32.8" hidden="false" customHeight="false" outlineLevel="0" collapsed="false">
      <c r="A15" s="12" t="s">
        <v>183</v>
      </c>
      <c r="B15" s="13" t="s">
        <v>174</v>
      </c>
      <c r="C15" s="13" t="s">
        <v>184</v>
      </c>
      <c r="D15" s="13" t="s">
        <v>185</v>
      </c>
      <c r="E15" s="14" t="s">
        <v>61</v>
      </c>
      <c r="F15" s="14" t="n">
        <v>1</v>
      </c>
      <c r="G15" s="13" t="s">
        <v>186</v>
      </c>
      <c r="H15" s="13" t="s">
        <v>63</v>
      </c>
      <c r="I15" s="13" t="s">
        <v>187</v>
      </c>
      <c r="J15" s="13" t="s">
        <v>188</v>
      </c>
      <c r="K15" s="13" t="s">
        <v>189</v>
      </c>
      <c r="L15" s="13" t="s">
        <v>190</v>
      </c>
      <c r="M15" s="14" t="s">
        <v>127</v>
      </c>
      <c r="N15" s="13" t="s">
        <v>191</v>
      </c>
    </row>
    <row r="16" customFormat="false" ht="22.35" hidden="false" customHeight="false" outlineLevel="0" collapsed="false">
      <c r="A16" s="12" t="s">
        <v>192</v>
      </c>
      <c r="B16" s="13" t="s">
        <v>174</v>
      </c>
      <c r="C16" s="13" t="s">
        <v>193</v>
      </c>
      <c r="D16" s="13" t="s">
        <v>194</v>
      </c>
      <c r="E16" s="14" t="s">
        <v>195</v>
      </c>
      <c r="F16" s="14" t="n">
        <v>2</v>
      </c>
      <c r="G16" s="13" t="s">
        <v>196</v>
      </c>
      <c r="H16" s="13" t="s">
        <v>197</v>
      </c>
      <c r="I16" s="13" t="s">
        <v>198</v>
      </c>
      <c r="J16" s="13" t="s">
        <v>199</v>
      </c>
      <c r="K16" s="13" t="s">
        <v>200</v>
      </c>
      <c r="L16" s="13" t="s">
        <v>201</v>
      </c>
      <c r="M16" s="14" t="s">
        <v>127</v>
      </c>
      <c r="N16" s="13" t="s">
        <v>202</v>
      </c>
    </row>
    <row r="17" customFormat="false" ht="43.25" hidden="false" customHeight="false" outlineLevel="0" collapsed="false">
      <c r="A17" s="12" t="s">
        <v>203</v>
      </c>
      <c r="B17" s="13" t="s">
        <v>174</v>
      </c>
      <c r="C17" s="13" t="s">
        <v>204</v>
      </c>
      <c r="D17" s="13" t="s">
        <v>205</v>
      </c>
      <c r="E17" s="14" t="s">
        <v>61</v>
      </c>
      <c r="F17" s="14" t="n">
        <v>2</v>
      </c>
      <c r="G17" s="13" t="s">
        <v>206</v>
      </c>
      <c r="H17" s="13" t="s">
        <v>178</v>
      </c>
      <c r="I17" s="13" t="s">
        <v>207</v>
      </c>
      <c r="J17" s="13" t="s">
        <v>208</v>
      </c>
      <c r="K17" s="13" t="s">
        <v>66</v>
      </c>
      <c r="L17" s="13" t="s">
        <v>201</v>
      </c>
      <c r="M17" s="14" t="s">
        <v>127</v>
      </c>
      <c r="N17" s="13" t="s">
        <v>209</v>
      </c>
    </row>
    <row r="18" customFormat="false" ht="32.8" hidden="false" customHeight="false" outlineLevel="0" collapsed="false">
      <c r="A18" s="8" t="s">
        <v>210</v>
      </c>
      <c r="B18" s="9" t="s">
        <v>174</v>
      </c>
      <c r="C18" s="9" t="s">
        <v>211</v>
      </c>
      <c r="D18" s="9" t="s">
        <v>212</v>
      </c>
      <c r="E18" s="10" t="s">
        <v>167</v>
      </c>
      <c r="F18" s="10" t="n">
        <v>3</v>
      </c>
      <c r="G18" s="9" t="s">
        <v>213</v>
      </c>
      <c r="H18" s="9" t="s">
        <v>159</v>
      </c>
      <c r="I18" s="9" t="s">
        <v>214</v>
      </c>
      <c r="J18" s="9" t="s">
        <v>215</v>
      </c>
      <c r="K18" s="9" t="s">
        <v>216</v>
      </c>
      <c r="L18" s="9" t="s">
        <v>217</v>
      </c>
      <c r="M18" s="10" t="s">
        <v>68</v>
      </c>
      <c r="N18" s="9" t="s">
        <v>218</v>
      </c>
    </row>
    <row r="19" customFormat="false" ht="32.8" hidden="false" customHeight="false" outlineLevel="0" collapsed="false">
      <c r="A19" s="12" t="s">
        <v>219</v>
      </c>
      <c r="B19" s="13" t="s">
        <v>220</v>
      </c>
      <c r="C19" s="13" t="s">
        <v>221</v>
      </c>
      <c r="D19" s="13" t="s">
        <v>222</v>
      </c>
      <c r="E19" s="14" t="s">
        <v>61</v>
      </c>
      <c r="F19" s="14" t="n">
        <v>2</v>
      </c>
      <c r="G19" s="13" t="s">
        <v>223</v>
      </c>
      <c r="H19" s="13" t="s">
        <v>224</v>
      </c>
      <c r="I19" s="13" t="s">
        <v>225</v>
      </c>
      <c r="J19" s="13" t="s">
        <v>226</v>
      </c>
      <c r="K19" s="13" t="s">
        <v>227</v>
      </c>
      <c r="L19" s="13" t="s">
        <v>228</v>
      </c>
      <c r="M19" s="14" t="s">
        <v>127</v>
      </c>
      <c r="N19" s="13" t="s">
        <v>229</v>
      </c>
    </row>
    <row r="20" customFormat="false" ht="22.35" hidden="false" customHeight="false" outlineLevel="0" collapsed="false">
      <c r="A20" s="11" t="s">
        <v>230</v>
      </c>
      <c r="B20" s="6" t="s">
        <v>220</v>
      </c>
      <c r="C20" s="6" t="s">
        <v>231</v>
      </c>
      <c r="D20" s="6" t="s">
        <v>232</v>
      </c>
      <c r="E20" s="5" t="s">
        <v>61</v>
      </c>
      <c r="F20" s="5" t="n">
        <v>1</v>
      </c>
      <c r="G20" s="6" t="s">
        <v>233</v>
      </c>
      <c r="H20" s="6" t="s">
        <v>197</v>
      </c>
      <c r="I20" s="6" t="s">
        <v>234</v>
      </c>
      <c r="J20" s="6" t="s">
        <v>235</v>
      </c>
      <c r="K20" s="6" t="s">
        <v>136</v>
      </c>
      <c r="L20" s="6" t="s">
        <v>236</v>
      </c>
      <c r="M20" s="5" t="s">
        <v>108</v>
      </c>
      <c r="N20" s="6" t="s">
        <v>237</v>
      </c>
    </row>
    <row r="21" customFormat="false" ht="22.35" hidden="false" customHeight="false" outlineLevel="0" collapsed="false">
      <c r="A21" s="12" t="s">
        <v>238</v>
      </c>
      <c r="B21" s="13" t="s">
        <v>220</v>
      </c>
      <c r="C21" s="13" t="s">
        <v>239</v>
      </c>
      <c r="D21" s="13" t="s">
        <v>240</v>
      </c>
      <c r="E21" s="14" t="s">
        <v>61</v>
      </c>
      <c r="F21" s="14" t="n">
        <v>2</v>
      </c>
      <c r="G21" s="13" t="s">
        <v>241</v>
      </c>
      <c r="H21" s="13" t="s">
        <v>197</v>
      </c>
      <c r="I21" s="13" t="s">
        <v>242</v>
      </c>
      <c r="J21" s="13" t="s">
        <v>243</v>
      </c>
      <c r="K21" s="13" t="s">
        <v>244</v>
      </c>
      <c r="L21" s="13" t="s">
        <v>245</v>
      </c>
      <c r="M21" s="14" t="s">
        <v>127</v>
      </c>
      <c r="N21" s="13" t="s">
        <v>246</v>
      </c>
    </row>
    <row r="22" customFormat="false" ht="32.8" hidden="false" customHeight="false" outlineLevel="0" collapsed="false">
      <c r="A22" s="12" t="s">
        <v>247</v>
      </c>
      <c r="B22" s="13" t="s">
        <v>220</v>
      </c>
      <c r="C22" s="13" t="s">
        <v>248</v>
      </c>
      <c r="D22" s="13" t="s">
        <v>249</v>
      </c>
      <c r="E22" s="14" t="s">
        <v>167</v>
      </c>
      <c r="F22" s="14" t="n">
        <v>3</v>
      </c>
      <c r="G22" s="13" t="s">
        <v>250</v>
      </c>
      <c r="H22" s="13" t="s">
        <v>251</v>
      </c>
      <c r="I22" s="13" t="s">
        <v>252</v>
      </c>
      <c r="J22" s="13" t="s">
        <v>253</v>
      </c>
      <c r="K22" s="13" t="s">
        <v>66</v>
      </c>
      <c r="L22" s="13" t="s">
        <v>254</v>
      </c>
      <c r="M22" s="14" t="s">
        <v>127</v>
      </c>
      <c r="N22" s="13" t="s">
        <v>255</v>
      </c>
    </row>
    <row r="23" customFormat="false" ht="32.8" hidden="false" customHeight="false" outlineLevel="0" collapsed="false">
      <c r="A23" s="8" t="s">
        <v>256</v>
      </c>
      <c r="B23" s="9" t="s">
        <v>220</v>
      </c>
      <c r="C23" s="9" t="s">
        <v>257</v>
      </c>
      <c r="D23" s="9" t="s">
        <v>258</v>
      </c>
      <c r="E23" s="10" t="s">
        <v>61</v>
      </c>
      <c r="F23" s="10" t="n">
        <v>3</v>
      </c>
      <c r="G23" s="9" t="s">
        <v>259</v>
      </c>
      <c r="H23" s="9" t="s">
        <v>84</v>
      </c>
      <c r="I23" s="9" t="s">
        <v>260</v>
      </c>
      <c r="J23" s="9" t="s">
        <v>261</v>
      </c>
      <c r="K23" s="9" t="s">
        <v>262</v>
      </c>
      <c r="L23" s="9" t="s">
        <v>263</v>
      </c>
      <c r="M23" s="10" t="s">
        <v>68</v>
      </c>
      <c r="N23" s="9" t="s">
        <v>264</v>
      </c>
    </row>
    <row r="24" customFormat="false" ht="22.35" hidden="false" customHeight="false" outlineLevel="0" collapsed="false">
      <c r="A24" s="8" t="s">
        <v>265</v>
      </c>
      <c r="B24" s="9" t="s">
        <v>220</v>
      </c>
      <c r="C24" s="9" t="s">
        <v>266</v>
      </c>
      <c r="D24" s="9" t="s">
        <v>267</v>
      </c>
      <c r="E24" s="10" t="s">
        <v>167</v>
      </c>
      <c r="F24" s="10" t="n">
        <v>2</v>
      </c>
      <c r="G24" s="9" t="s">
        <v>268</v>
      </c>
      <c r="H24" s="9" t="s">
        <v>84</v>
      </c>
      <c r="I24" s="9" t="s">
        <v>269</v>
      </c>
      <c r="J24" s="9" t="s">
        <v>270</v>
      </c>
      <c r="K24" s="9" t="s">
        <v>271</v>
      </c>
      <c r="L24" s="9" t="s">
        <v>272</v>
      </c>
      <c r="M24" s="10" t="s">
        <v>68</v>
      </c>
      <c r="N24" s="9" t="s">
        <v>273</v>
      </c>
    </row>
    <row r="25" customFormat="false" ht="32.8" hidden="false" customHeight="false" outlineLevel="0" collapsed="false">
      <c r="A25" s="8" t="s">
        <v>274</v>
      </c>
      <c r="B25" s="9" t="s">
        <v>220</v>
      </c>
      <c r="C25" s="9" t="s">
        <v>275</v>
      </c>
      <c r="D25" s="9" t="s">
        <v>276</v>
      </c>
      <c r="E25" s="10" t="s">
        <v>61</v>
      </c>
      <c r="F25" s="10" t="n">
        <v>2</v>
      </c>
      <c r="G25" s="9" t="s">
        <v>277</v>
      </c>
      <c r="H25" s="9" t="s">
        <v>84</v>
      </c>
      <c r="I25" s="9" t="s">
        <v>278</v>
      </c>
      <c r="J25" s="9" t="s">
        <v>279</v>
      </c>
      <c r="K25" s="9" t="s">
        <v>280</v>
      </c>
      <c r="L25" s="9" t="s">
        <v>281</v>
      </c>
      <c r="M25" s="10" t="s">
        <v>68</v>
      </c>
      <c r="N25" s="9" t="s">
        <v>282</v>
      </c>
    </row>
    <row r="26" customFormat="false" ht="22.35" hidden="false" customHeight="false" outlineLevel="0" collapsed="false">
      <c r="A26" s="12" t="s">
        <v>283</v>
      </c>
      <c r="B26" s="13" t="s">
        <v>284</v>
      </c>
      <c r="C26" s="13" t="s">
        <v>285</v>
      </c>
      <c r="D26" s="13" t="s">
        <v>286</v>
      </c>
      <c r="E26" s="14" t="s">
        <v>61</v>
      </c>
      <c r="F26" s="14" t="n">
        <v>1</v>
      </c>
      <c r="G26" s="13" t="s">
        <v>287</v>
      </c>
      <c r="H26" s="13" t="s">
        <v>288</v>
      </c>
      <c r="I26" s="13" t="s">
        <v>289</v>
      </c>
      <c r="J26" s="13" t="s">
        <v>290</v>
      </c>
      <c r="K26" s="13" t="s">
        <v>291</v>
      </c>
      <c r="L26" s="13" t="s">
        <v>292</v>
      </c>
      <c r="M26" s="14" t="s">
        <v>127</v>
      </c>
      <c r="N26" s="13" t="s">
        <v>293</v>
      </c>
    </row>
    <row r="27" customFormat="false" ht="22.35" hidden="false" customHeight="false" outlineLevel="0" collapsed="false">
      <c r="A27" s="12" t="s">
        <v>294</v>
      </c>
      <c r="B27" s="13" t="s">
        <v>284</v>
      </c>
      <c r="C27" s="13" t="s">
        <v>295</v>
      </c>
      <c r="D27" s="13" t="s">
        <v>296</v>
      </c>
      <c r="E27" s="14" t="s">
        <v>167</v>
      </c>
      <c r="F27" s="14" t="n">
        <v>1</v>
      </c>
      <c r="G27" s="13" t="s">
        <v>297</v>
      </c>
      <c r="H27" s="13" t="s">
        <v>113</v>
      </c>
      <c r="I27" s="13" t="s">
        <v>298</v>
      </c>
      <c r="J27" s="13" t="s">
        <v>299</v>
      </c>
      <c r="K27" s="13" t="s">
        <v>300</v>
      </c>
      <c r="L27" s="13" t="s">
        <v>301</v>
      </c>
      <c r="M27" s="14" t="s">
        <v>127</v>
      </c>
      <c r="N27" s="13" t="s">
        <v>302</v>
      </c>
    </row>
    <row r="28" customFormat="false" ht="22.35" hidden="false" customHeight="false" outlineLevel="0" collapsed="false">
      <c r="A28" s="11" t="s">
        <v>303</v>
      </c>
      <c r="B28" s="6" t="s">
        <v>284</v>
      </c>
      <c r="C28" s="6" t="s">
        <v>304</v>
      </c>
      <c r="D28" s="6" t="s">
        <v>305</v>
      </c>
      <c r="E28" s="5" t="s">
        <v>195</v>
      </c>
      <c r="F28" s="5" t="n">
        <v>1</v>
      </c>
      <c r="G28" s="6" t="s">
        <v>93</v>
      </c>
      <c r="H28" s="6" t="s">
        <v>113</v>
      </c>
      <c r="I28" s="6" t="s">
        <v>298</v>
      </c>
      <c r="J28" s="6" t="s">
        <v>306</v>
      </c>
      <c r="K28" s="6" t="s">
        <v>307</v>
      </c>
      <c r="L28" s="6" t="s">
        <v>308</v>
      </c>
      <c r="M28" s="5" t="s">
        <v>108</v>
      </c>
      <c r="N28" s="6" t="s">
        <v>146</v>
      </c>
    </row>
    <row r="29" customFormat="false" ht="22.35" hidden="false" customHeight="false" outlineLevel="0" collapsed="false">
      <c r="A29" s="12" t="s">
        <v>309</v>
      </c>
      <c r="B29" s="13" t="s">
        <v>310</v>
      </c>
      <c r="C29" s="13" t="s">
        <v>311</v>
      </c>
      <c r="D29" s="13" t="s">
        <v>312</v>
      </c>
      <c r="E29" s="14" t="s">
        <v>167</v>
      </c>
      <c r="F29" s="14" t="n">
        <v>1</v>
      </c>
      <c r="G29" s="13" t="s">
        <v>313</v>
      </c>
      <c r="H29" s="13" t="s">
        <v>133</v>
      </c>
      <c r="I29" s="13" t="s">
        <v>314</v>
      </c>
      <c r="J29" s="13" t="s">
        <v>315</v>
      </c>
      <c r="K29" s="13" t="s">
        <v>66</v>
      </c>
      <c r="L29" s="13" t="s">
        <v>316</v>
      </c>
      <c r="M29" s="14" t="s">
        <v>127</v>
      </c>
      <c r="N29" s="13" t="s">
        <v>317</v>
      </c>
    </row>
    <row r="30" customFormat="false" ht="22.35" hidden="false" customHeight="false" outlineLevel="0" collapsed="false">
      <c r="A30" s="11" t="s">
        <v>318</v>
      </c>
      <c r="B30" s="6" t="s">
        <v>310</v>
      </c>
      <c r="C30" s="6" t="s">
        <v>319</v>
      </c>
      <c r="D30" s="6" t="s">
        <v>320</v>
      </c>
      <c r="E30" s="5" t="s">
        <v>167</v>
      </c>
      <c r="F30" s="5" t="n">
        <v>2</v>
      </c>
      <c r="G30" s="6" t="s">
        <v>321</v>
      </c>
      <c r="H30" s="6" t="s">
        <v>197</v>
      </c>
      <c r="I30" s="6" t="s">
        <v>322</v>
      </c>
      <c r="J30" s="6" t="s">
        <v>323</v>
      </c>
      <c r="K30" s="6" t="s">
        <v>66</v>
      </c>
      <c r="L30" s="6" t="s">
        <v>324</v>
      </c>
      <c r="M30" s="5" t="s">
        <v>108</v>
      </c>
      <c r="N30" s="6" t="s">
        <v>118</v>
      </c>
    </row>
    <row r="31" customFormat="false" ht="32.8" hidden="false" customHeight="false" outlineLevel="0" collapsed="false">
      <c r="A31" s="12" t="s">
        <v>325</v>
      </c>
      <c r="B31" s="13" t="s">
        <v>310</v>
      </c>
      <c r="C31" s="13" t="s">
        <v>326</v>
      </c>
      <c r="D31" s="13" t="s">
        <v>327</v>
      </c>
      <c r="E31" s="14" t="s">
        <v>167</v>
      </c>
      <c r="F31" s="14" t="n">
        <v>1</v>
      </c>
      <c r="G31" s="13" t="s">
        <v>93</v>
      </c>
      <c r="H31" s="13" t="s">
        <v>133</v>
      </c>
      <c r="I31" s="13" t="s">
        <v>328</v>
      </c>
      <c r="J31" s="13" t="s">
        <v>329</v>
      </c>
      <c r="K31" s="13" t="s">
        <v>300</v>
      </c>
      <c r="L31" s="13" t="s">
        <v>330</v>
      </c>
      <c r="M31" s="14" t="s">
        <v>127</v>
      </c>
      <c r="N31" s="13" t="s">
        <v>331</v>
      </c>
    </row>
    <row r="32" customFormat="false" ht="22.35" hidden="false" customHeight="false" outlineLevel="0" collapsed="false">
      <c r="A32" s="11" t="s">
        <v>332</v>
      </c>
      <c r="B32" s="6" t="s">
        <v>310</v>
      </c>
      <c r="C32" s="6" t="s">
        <v>333</v>
      </c>
      <c r="D32" s="6" t="s">
        <v>334</v>
      </c>
      <c r="E32" s="5" t="s">
        <v>61</v>
      </c>
      <c r="F32" s="5" t="n">
        <v>1</v>
      </c>
      <c r="G32" s="6" t="s">
        <v>335</v>
      </c>
      <c r="H32" s="6" t="s">
        <v>336</v>
      </c>
      <c r="I32" s="6" t="s">
        <v>337</v>
      </c>
      <c r="J32" s="6" t="s">
        <v>338</v>
      </c>
      <c r="K32" s="6" t="s">
        <v>96</v>
      </c>
      <c r="L32" s="6" t="s">
        <v>339</v>
      </c>
      <c r="M32" s="5" t="s">
        <v>108</v>
      </c>
      <c r="N32" s="6" t="s">
        <v>340</v>
      </c>
    </row>
    <row r="33" customFormat="false" ht="32.8" hidden="false" customHeight="false" outlineLevel="0" collapsed="false">
      <c r="A33" s="8" t="s">
        <v>341</v>
      </c>
      <c r="B33" s="9" t="s">
        <v>310</v>
      </c>
      <c r="C33" s="9" t="s">
        <v>342</v>
      </c>
      <c r="D33" s="9" t="s">
        <v>343</v>
      </c>
      <c r="E33" s="10" t="s">
        <v>61</v>
      </c>
      <c r="F33" s="10" t="n">
        <v>2</v>
      </c>
      <c r="G33" s="9" t="s">
        <v>344</v>
      </c>
      <c r="H33" s="9" t="s">
        <v>197</v>
      </c>
      <c r="I33" s="9" t="s">
        <v>345</v>
      </c>
      <c r="J33" s="9" t="s">
        <v>346</v>
      </c>
      <c r="K33" s="9" t="s">
        <v>136</v>
      </c>
      <c r="L33" s="9" t="s">
        <v>201</v>
      </c>
      <c r="M33" s="10" t="s">
        <v>68</v>
      </c>
      <c r="N33" s="9" t="s">
        <v>347</v>
      </c>
    </row>
    <row r="34" customFormat="false" ht="22.35" hidden="false" customHeight="false" outlineLevel="0" collapsed="false">
      <c r="A34" s="11" t="s">
        <v>348</v>
      </c>
      <c r="B34" s="6" t="s">
        <v>349</v>
      </c>
      <c r="C34" s="6" t="s">
        <v>350</v>
      </c>
      <c r="D34" s="6" t="s">
        <v>351</v>
      </c>
      <c r="E34" s="5" t="s">
        <v>61</v>
      </c>
      <c r="F34" s="5" t="n">
        <v>1</v>
      </c>
      <c r="G34" s="6" t="s">
        <v>93</v>
      </c>
      <c r="H34" s="6" t="s">
        <v>352</v>
      </c>
      <c r="I34" s="6" t="s">
        <v>353</v>
      </c>
      <c r="J34" s="6" t="s">
        <v>354</v>
      </c>
      <c r="K34" s="6" t="s">
        <v>96</v>
      </c>
      <c r="L34" s="6" t="s">
        <v>355</v>
      </c>
      <c r="M34" s="5" t="s">
        <v>108</v>
      </c>
      <c r="N34" s="6" t="s">
        <v>146</v>
      </c>
    </row>
    <row r="35" customFormat="false" ht="22.35" hidden="false" customHeight="false" outlineLevel="0" collapsed="false">
      <c r="A35" s="12" t="s">
        <v>356</v>
      </c>
      <c r="B35" s="13" t="s">
        <v>349</v>
      </c>
      <c r="C35" s="13" t="s">
        <v>357</v>
      </c>
      <c r="D35" s="13" t="s">
        <v>358</v>
      </c>
      <c r="E35" s="14" t="s">
        <v>195</v>
      </c>
      <c r="F35" s="14" t="n">
        <v>2</v>
      </c>
      <c r="G35" s="13" t="s">
        <v>359</v>
      </c>
      <c r="H35" s="13" t="s">
        <v>197</v>
      </c>
      <c r="I35" s="13" t="s">
        <v>360</v>
      </c>
      <c r="J35" s="13" t="s">
        <v>361</v>
      </c>
      <c r="K35" s="13" t="s">
        <v>362</v>
      </c>
      <c r="L35" s="13" t="s">
        <v>201</v>
      </c>
      <c r="M35" s="14" t="s">
        <v>127</v>
      </c>
      <c r="N35" s="13" t="s">
        <v>363</v>
      </c>
    </row>
    <row r="36" customFormat="false" ht="22.35" hidden="false" customHeight="false" outlineLevel="0" collapsed="false">
      <c r="A36" s="12" t="s">
        <v>364</v>
      </c>
      <c r="B36" s="13" t="s">
        <v>349</v>
      </c>
      <c r="C36" s="13" t="s">
        <v>365</v>
      </c>
      <c r="D36" s="13" t="s">
        <v>366</v>
      </c>
      <c r="E36" s="14" t="s">
        <v>195</v>
      </c>
      <c r="F36" s="14" t="n">
        <v>1</v>
      </c>
      <c r="G36" s="13" t="s">
        <v>367</v>
      </c>
      <c r="H36" s="13" t="s">
        <v>368</v>
      </c>
      <c r="I36" s="13" t="s">
        <v>369</v>
      </c>
      <c r="J36" s="13" t="s">
        <v>370</v>
      </c>
      <c r="K36" s="13" t="s">
        <v>371</v>
      </c>
      <c r="L36" s="13" t="s">
        <v>372</v>
      </c>
      <c r="M36" s="14" t="s">
        <v>127</v>
      </c>
      <c r="N36" s="13" t="s">
        <v>373</v>
      </c>
    </row>
    <row r="37" customFormat="false" ht="22.35" hidden="false" customHeight="false" outlineLevel="0" collapsed="false">
      <c r="A37" s="11" t="s">
        <v>374</v>
      </c>
      <c r="B37" s="6" t="s">
        <v>375</v>
      </c>
      <c r="C37" s="6" t="s">
        <v>376</v>
      </c>
      <c r="D37" s="6" t="s">
        <v>377</v>
      </c>
      <c r="E37" s="5" t="s">
        <v>61</v>
      </c>
      <c r="F37" s="5" t="n">
        <v>1</v>
      </c>
      <c r="G37" s="6" t="s">
        <v>93</v>
      </c>
      <c r="H37" s="6" t="s">
        <v>378</v>
      </c>
      <c r="I37" s="6" t="s">
        <v>379</v>
      </c>
      <c r="J37" s="6" t="s">
        <v>380</v>
      </c>
      <c r="K37" s="6" t="s">
        <v>96</v>
      </c>
      <c r="L37" s="6" t="s">
        <v>381</v>
      </c>
      <c r="M37" s="5" t="s">
        <v>108</v>
      </c>
      <c r="N37" s="6" t="s">
        <v>146</v>
      </c>
    </row>
    <row r="38" customFormat="false" ht="32.8" hidden="false" customHeight="false" outlineLevel="0" collapsed="false">
      <c r="A38" s="12" t="s">
        <v>382</v>
      </c>
      <c r="B38" s="13" t="s">
        <v>375</v>
      </c>
      <c r="C38" s="13" t="s">
        <v>383</v>
      </c>
      <c r="D38" s="13" t="s">
        <v>384</v>
      </c>
      <c r="E38" s="14" t="s">
        <v>61</v>
      </c>
      <c r="F38" s="14" t="n">
        <v>1</v>
      </c>
      <c r="G38" s="13" t="s">
        <v>385</v>
      </c>
      <c r="H38" s="13" t="s">
        <v>378</v>
      </c>
      <c r="I38" s="13" t="s">
        <v>386</v>
      </c>
      <c r="J38" s="13" t="s">
        <v>387</v>
      </c>
      <c r="K38" s="13" t="s">
        <v>388</v>
      </c>
      <c r="L38" s="13" t="s">
        <v>389</v>
      </c>
      <c r="M38" s="14" t="s">
        <v>127</v>
      </c>
      <c r="N38" s="13" t="s">
        <v>390</v>
      </c>
    </row>
    <row r="39" customFormat="false" ht="22.35" hidden="false" customHeight="false" outlineLevel="0" collapsed="false">
      <c r="A39" s="12" t="s">
        <v>391</v>
      </c>
      <c r="B39" s="13" t="s">
        <v>375</v>
      </c>
      <c r="C39" s="13" t="s">
        <v>392</v>
      </c>
      <c r="D39" s="13" t="s">
        <v>393</v>
      </c>
      <c r="E39" s="14" t="s">
        <v>61</v>
      </c>
      <c r="F39" s="14" t="n">
        <v>1</v>
      </c>
      <c r="G39" s="13" t="s">
        <v>394</v>
      </c>
      <c r="H39" s="13" t="s">
        <v>395</v>
      </c>
      <c r="I39" s="13" t="s">
        <v>396</v>
      </c>
      <c r="J39" s="13" t="s">
        <v>397</v>
      </c>
      <c r="K39" s="13" t="s">
        <v>96</v>
      </c>
      <c r="L39" s="13" t="s">
        <v>398</v>
      </c>
      <c r="M39" s="14" t="s">
        <v>127</v>
      </c>
      <c r="N39" s="13" t="s">
        <v>399</v>
      </c>
    </row>
    <row r="40" customFormat="false" ht="32.8" hidden="false" customHeight="false" outlineLevel="0" collapsed="false">
      <c r="A40" s="8" t="s">
        <v>400</v>
      </c>
      <c r="B40" s="9" t="s">
        <v>375</v>
      </c>
      <c r="C40" s="9" t="s">
        <v>401</v>
      </c>
      <c r="D40" s="9" t="s">
        <v>402</v>
      </c>
      <c r="E40" s="10" t="s">
        <v>61</v>
      </c>
      <c r="F40" s="10" t="n">
        <v>2</v>
      </c>
      <c r="G40" s="9" t="s">
        <v>403</v>
      </c>
      <c r="H40" s="9" t="s">
        <v>84</v>
      </c>
      <c r="I40" s="9" t="s">
        <v>404</v>
      </c>
      <c r="J40" s="9" t="s">
        <v>405</v>
      </c>
      <c r="K40" s="9" t="s">
        <v>96</v>
      </c>
      <c r="L40" s="9" t="s">
        <v>406</v>
      </c>
      <c r="M40" s="10" t="s">
        <v>68</v>
      </c>
      <c r="N40" s="9" t="s">
        <v>407</v>
      </c>
    </row>
  </sheetData>
  <autoFilter ref="A1:N40"/>
  <dataValidations count="3">
    <dataValidation allowBlank="false" errorStyle="stop" operator="between" showDropDown="false" showErrorMessage="false" showInputMessage="false" sqref="F2:F40" type="whole">
      <formula1>1</formula1>
      <formula2>4</formula2>
    </dataValidation>
    <dataValidation allowBlank="false" errorStyle="stop" operator="between" showDropDown="false" showErrorMessage="false" showInputMessage="false" sqref="E2:E40" type="list">
      <formula1>"Preventive,Detective,Corrective"</formula1>
      <formula2>0</formula2>
    </dataValidation>
    <dataValidation allowBlank="false" errorStyle="stop" operator="between" showDropDown="false" showErrorMessage="false" showInputMessage="false" sqref="M2:M40" type="list">
      <formula1>"New,Revised,Retained"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8" min="2" style="0" width="11"/>
  </cols>
  <sheetData>
    <row r="1" customFormat="false" ht="15" hidden="false" customHeight="false" outlineLevel="0" collapsed="false">
      <c r="A1" s="15" t="s">
        <v>408</v>
      </c>
    </row>
    <row r="3" customFormat="false" ht="15" hidden="false" customHeight="false" outlineLevel="0" collapsed="false">
      <c r="A3" s="4" t="s">
        <v>44</v>
      </c>
      <c r="B3" s="4" t="s">
        <v>409</v>
      </c>
      <c r="C3" s="4" t="s">
        <v>410</v>
      </c>
      <c r="D3" s="4" t="s">
        <v>411</v>
      </c>
      <c r="E3" s="4" t="s">
        <v>412</v>
      </c>
      <c r="F3" s="4" t="s">
        <v>68</v>
      </c>
      <c r="G3" s="4" t="s">
        <v>127</v>
      </c>
      <c r="H3" s="4" t="s">
        <v>108</v>
      </c>
    </row>
    <row r="4" customFormat="false" ht="15" hidden="false" customHeight="false" outlineLevel="0" collapsed="false">
      <c r="A4" s="16" t="s">
        <v>58</v>
      </c>
      <c r="B4" s="5" t="n">
        <f aca="false">COUNTIFS('Control Matrix'!$B$2:$B$40,$A4,'Control Matrix'!$F$2:$F$40,"&lt;=1")</f>
        <v>3</v>
      </c>
      <c r="C4" s="5" t="n">
        <f aca="false">COUNTIFS('Control Matrix'!$B$2:$B$40,$A4,'Control Matrix'!$F$2:$F$40,"&lt;=2")</f>
        <v>4</v>
      </c>
      <c r="D4" s="5" t="n">
        <f aca="false">COUNTIFS('Control Matrix'!$B$2:$B$40,$A4,'Control Matrix'!$F$2:$F$40,"&lt;=3")</f>
        <v>4</v>
      </c>
      <c r="E4" s="5" t="n">
        <f aca="false">COUNTIFS('Control Matrix'!$B$2:$B$40,$A4,'Control Matrix'!$F$2:$F$40,"&lt;=4")</f>
        <v>4</v>
      </c>
      <c r="F4" s="5" t="n">
        <f aca="false">COUNTIFS('Control Matrix'!$B$2:$B$40,$A4,'Control Matrix'!$M$2:$M$40,"New")</f>
        <v>4</v>
      </c>
      <c r="G4" s="5" t="n">
        <f aca="false">COUNTIFS('Control Matrix'!$B$2:$B$40,$A4,'Control Matrix'!$M$2:$M$40,"Revised")</f>
        <v>0</v>
      </c>
      <c r="H4" s="5" t="n">
        <f aca="false">COUNTIFS('Control Matrix'!$B$2:$B$40,$A4,'Control Matrix'!$M$2:$M$40,"Retained")</f>
        <v>0</v>
      </c>
    </row>
    <row r="5" customFormat="false" ht="15" hidden="false" customHeight="false" outlineLevel="0" collapsed="false">
      <c r="A5" s="16" t="s">
        <v>100</v>
      </c>
      <c r="B5" s="5" t="n">
        <f aca="false">COUNTIFS('Control Matrix'!$B$2:$B$40,$A5,'Control Matrix'!$F$2:$F$40,"&lt;=1")</f>
        <v>3</v>
      </c>
      <c r="C5" s="5" t="n">
        <f aca="false">COUNTIFS('Control Matrix'!$B$2:$B$40,$A5,'Control Matrix'!$F$2:$F$40,"&lt;=2")</f>
        <v>4</v>
      </c>
      <c r="D5" s="5" t="n">
        <f aca="false">COUNTIFS('Control Matrix'!$B$2:$B$40,$A5,'Control Matrix'!$F$2:$F$40,"&lt;=3")</f>
        <v>4</v>
      </c>
      <c r="E5" s="5" t="n">
        <f aca="false">COUNTIFS('Control Matrix'!$B$2:$B$40,$A5,'Control Matrix'!$F$2:$F$40,"&lt;=4")</f>
        <v>4</v>
      </c>
      <c r="F5" s="5" t="n">
        <f aca="false">COUNTIFS('Control Matrix'!$B$2:$B$40,$A5,'Control Matrix'!$M$2:$M$40,"New")</f>
        <v>0</v>
      </c>
      <c r="G5" s="5" t="n">
        <f aca="false">COUNTIFS('Control Matrix'!$B$2:$B$40,$A5,'Control Matrix'!$M$2:$M$40,"Revised")</f>
        <v>2</v>
      </c>
      <c r="H5" s="5" t="n">
        <f aca="false">COUNTIFS('Control Matrix'!$B$2:$B$40,$A5,'Control Matrix'!$M$2:$M$40,"Retained")</f>
        <v>2</v>
      </c>
    </row>
    <row r="6" customFormat="false" ht="15" hidden="false" customHeight="false" outlineLevel="0" collapsed="false">
      <c r="A6" s="16" t="s">
        <v>140</v>
      </c>
      <c r="B6" s="5" t="n">
        <f aca="false">COUNTIFS('Control Matrix'!$B$2:$B$40,$A6,'Control Matrix'!$F$2:$F$40,"&lt;=1")</f>
        <v>2</v>
      </c>
      <c r="C6" s="5" t="n">
        <f aca="false">COUNTIFS('Control Matrix'!$B$2:$B$40,$A6,'Control Matrix'!$F$2:$F$40,"&lt;=2")</f>
        <v>3</v>
      </c>
      <c r="D6" s="5" t="n">
        <f aca="false">COUNTIFS('Control Matrix'!$B$2:$B$40,$A6,'Control Matrix'!$F$2:$F$40,"&lt;=3")</f>
        <v>4</v>
      </c>
      <c r="E6" s="5" t="n">
        <f aca="false">COUNTIFS('Control Matrix'!$B$2:$B$40,$A6,'Control Matrix'!$F$2:$F$40,"&lt;=4")</f>
        <v>4</v>
      </c>
      <c r="F6" s="5" t="n">
        <f aca="false">COUNTIFS('Control Matrix'!$B$2:$B$40,$A6,'Control Matrix'!$M$2:$M$40,"New")</f>
        <v>0</v>
      </c>
      <c r="G6" s="5" t="n">
        <f aca="false">COUNTIFS('Control Matrix'!$B$2:$B$40,$A6,'Control Matrix'!$M$2:$M$40,"Revised")</f>
        <v>3</v>
      </c>
      <c r="H6" s="5" t="n">
        <f aca="false">COUNTIFS('Control Matrix'!$B$2:$B$40,$A6,'Control Matrix'!$M$2:$M$40,"Retained")</f>
        <v>1</v>
      </c>
    </row>
    <row r="7" customFormat="false" ht="15" hidden="false" customHeight="false" outlineLevel="0" collapsed="false">
      <c r="A7" s="16" t="s">
        <v>174</v>
      </c>
      <c r="B7" s="5" t="n">
        <f aca="false">COUNTIFS('Control Matrix'!$B$2:$B$40,$A7,'Control Matrix'!$F$2:$F$40,"&lt;=1")</f>
        <v>1</v>
      </c>
      <c r="C7" s="5" t="n">
        <f aca="false">COUNTIFS('Control Matrix'!$B$2:$B$40,$A7,'Control Matrix'!$F$2:$F$40,"&lt;=2")</f>
        <v>4</v>
      </c>
      <c r="D7" s="5" t="n">
        <f aca="false">COUNTIFS('Control Matrix'!$B$2:$B$40,$A7,'Control Matrix'!$F$2:$F$40,"&lt;=3")</f>
        <v>5</v>
      </c>
      <c r="E7" s="5" t="n">
        <f aca="false">COUNTIFS('Control Matrix'!$B$2:$B$40,$A7,'Control Matrix'!$F$2:$F$40,"&lt;=4")</f>
        <v>5</v>
      </c>
      <c r="F7" s="5" t="n">
        <f aca="false">COUNTIFS('Control Matrix'!$B$2:$B$40,$A7,'Control Matrix'!$M$2:$M$40,"New")</f>
        <v>1</v>
      </c>
      <c r="G7" s="5" t="n">
        <f aca="false">COUNTIFS('Control Matrix'!$B$2:$B$40,$A7,'Control Matrix'!$M$2:$M$40,"Revised")</f>
        <v>4</v>
      </c>
      <c r="H7" s="5" t="n">
        <f aca="false">COUNTIFS('Control Matrix'!$B$2:$B$40,$A7,'Control Matrix'!$M$2:$M$40,"Retained")</f>
        <v>0</v>
      </c>
    </row>
    <row r="8" customFormat="false" ht="15" hidden="false" customHeight="false" outlineLevel="0" collapsed="false">
      <c r="A8" s="16" t="s">
        <v>220</v>
      </c>
      <c r="B8" s="5" t="n">
        <f aca="false">COUNTIFS('Control Matrix'!$B$2:$B$40,$A8,'Control Matrix'!$F$2:$F$40,"&lt;=1")</f>
        <v>1</v>
      </c>
      <c r="C8" s="5" t="n">
        <f aca="false">COUNTIFS('Control Matrix'!$B$2:$B$40,$A8,'Control Matrix'!$F$2:$F$40,"&lt;=2")</f>
        <v>5</v>
      </c>
      <c r="D8" s="5" t="n">
        <f aca="false">COUNTIFS('Control Matrix'!$B$2:$B$40,$A8,'Control Matrix'!$F$2:$F$40,"&lt;=3")</f>
        <v>7</v>
      </c>
      <c r="E8" s="5" t="n">
        <f aca="false">COUNTIFS('Control Matrix'!$B$2:$B$40,$A8,'Control Matrix'!$F$2:$F$40,"&lt;=4")</f>
        <v>7</v>
      </c>
      <c r="F8" s="5" t="n">
        <f aca="false">COUNTIFS('Control Matrix'!$B$2:$B$40,$A8,'Control Matrix'!$M$2:$M$40,"New")</f>
        <v>3</v>
      </c>
      <c r="G8" s="5" t="n">
        <f aca="false">COUNTIFS('Control Matrix'!$B$2:$B$40,$A8,'Control Matrix'!$M$2:$M$40,"Revised")</f>
        <v>3</v>
      </c>
      <c r="H8" s="5" t="n">
        <f aca="false">COUNTIFS('Control Matrix'!$B$2:$B$40,$A8,'Control Matrix'!$M$2:$M$40,"Retained")</f>
        <v>1</v>
      </c>
    </row>
    <row r="9" customFormat="false" ht="15" hidden="false" customHeight="false" outlineLevel="0" collapsed="false">
      <c r="A9" s="16" t="s">
        <v>284</v>
      </c>
      <c r="B9" s="5" t="n">
        <f aca="false">COUNTIFS('Control Matrix'!$B$2:$B$40,$A9,'Control Matrix'!$F$2:$F$40,"&lt;=1")</f>
        <v>3</v>
      </c>
      <c r="C9" s="5" t="n">
        <f aca="false">COUNTIFS('Control Matrix'!$B$2:$B$40,$A9,'Control Matrix'!$F$2:$F$40,"&lt;=2")</f>
        <v>3</v>
      </c>
      <c r="D9" s="5" t="n">
        <f aca="false">COUNTIFS('Control Matrix'!$B$2:$B$40,$A9,'Control Matrix'!$F$2:$F$40,"&lt;=3")</f>
        <v>3</v>
      </c>
      <c r="E9" s="5" t="n">
        <f aca="false">COUNTIFS('Control Matrix'!$B$2:$B$40,$A9,'Control Matrix'!$F$2:$F$40,"&lt;=4")</f>
        <v>3</v>
      </c>
      <c r="F9" s="5" t="n">
        <f aca="false">COUNTIFS('Control Matrix'!$B$2:$B$40,$A9,'Control Matrix'!$M$2:$M$40,"New")</f>
        <v>0</v>
      </c>
      <c r="G9" s="5" t="n">
        <f aca="false">COUNTIFS('Control Matrix'!$B$2:$B$40,$A9,'Control Matrix'!$M$2:$M$40,"Revised")</f>
        <v>2</v>
      </c>
      <c r="H9" s="5" t="n">
        <f aca="false">COUNTIFS('Control Matrix'!$B$2:$B$40,$A9,'Control Matrix'!$M$2:$M$40,"Retained")</f>
        <v>1</v>
      </c>
    </row>
    <row r="10" customFormat="false" ht="15" hidden="false" customHeight="false" outlineLevel="0" collapsed="false">
      <c r="A10" s="16" t="s">
        <v>310</v>
      </c>
      <c r="B10" s="5" t="n">
        <f aca="false">COUNTIFS('Control Matrix'!$B$2:$B$40,$A10,'Control Matrix'!$F$2:$F$40,"&lt;=1")</f>
        <v>3</v>
      </c>
      <c r="C10" s="5" t="n">
        <f aca="false">COUNTIFS('Control Matrix'!$B$2:$B$40,$A10,'Control Matrix'!$F$2:$F$40,"&lt;=2")</f>
        <v>5</v>
      </c>
      <c r="D10" s="5" t="n">
        <f aca="false">COUNTIFS('Control Matrix'!$B$2:$B$40,$A10,'Control Matrix'!$F$2:$F$40,"&lt;=3")</f>
        <v>5</v>
      </c>
      <c r="E10" s="5" t="n">
        <f aca="false">COUNTIFS('Control Matrix'!$B$2:$B$40,$A10,'Control Matrix'!$F$2:$F$40,"&lt;=4")</f>
        <v>5</v>
      </c>
      <c r="F10" s="5" t="n">
        <f aca="false">COUNTIFS('Control Matrix'!$B$2:$B$40,$A10,'Control Matrix'!$M$2:$M$40,"New")</f>
        <v>1</v>
      </c>
      <c r="G10" s="5" t="n">
        <f aca="false">COUNTIFS('Control Matrix'!$B$2:$B$40,$A10,'Control Matrix'!$M$2:$M$40,"Revised")</f>
        <v>2</v>
      </c>
      <c r="H10" s="5" t="n">
        <f aca="false">COUNTIFS('Control Matrix'!$B$2:$B$40,$A10,'Control Matrix'!$M$2:$M$40,"Retained")</f>
        <v>2</v>
      </c>
    </row>
    <row r="11" customFormat="false" ht="15" hidden="false" customHeight="false" outlineLevel="0" collapsed="false">
      <c r="A11" s="16" t="s">
        <v>349</v>
      </c>
      <c r="B11" s="5" t="n">
        <f aca="false">COUNTIFS('Control Matrix'!$B$2:$B$40,$A11,'Control Matrix'!$F$2:$F$40,"&lt;=1")</f>
        <v>2</v>
      </c>
      <c r="C11" s="5" t="n">
        <f aca="false">COUNTIFS('Control Matrix'!$B$2:$B$40,$A11,'Control Matrix'!$F$2:$F$40,"&lt;=2")</f>
        <v>3</v>
      </c>
      <c r="D11" s="5" t="n">
        <f aca="false">COUNTIFS('Control Matrix'!$B$2:$B$40,$A11,'Control Matrix'!$F$2:$F$40,"&lt;=3")</f>
        <v>3</v>
      </c>
      <c r="E11" s="5" t="n">
        <f aca="false">COUNTIFS('Control Matrix'!$B$2:$B$40,$A11,'Control Matrix'!$F$2:$F$40,"&lt;=4")</f>
        <v>3</v>
      </c>
      <c r="F11" s="5" t="n">
        <f aca="false">COUNTIFS('Control Matrix'!$B$2:$B$40,$A11,'Control Matrix'!$M$2:$M$40,"New")</f>
        <v>0</v>
      </c>
      <c r="G11" s="5" t="n">
        <f aca="false">COUNTIFS('Control Matrix'!$B$2:$B$40,$A11,'Control Matrix'!$M$2:$M$40,"Revised")</f>
        <v>2</v>
      </c>
      <c r="H11" s="5" t="n">
        <f aca="false">COUNTIFS('Control Matrix'!$B$2:$B$40,$A11,'Control Matrix'!$M$2:$M$40,"Retained")</f>
        <v>1</v>
      </c>
    </row>
    <row r="12" customFormat="false" ht="15" hidden="false" customHeight="false" outlineLevel="0" collapsed="false">
      <c r="A12" s="16" t="s">
        <v>375</v>
      </c>
      <c r="B12" s="5" t="n">
        <f aca="false">COUNTIFS('Control Matrix'!$B$2:$B$40,$A12,'Control Matrix'!$F$2:$F$40,"&lt;=1")</f>
        <v>3</v>
      </c>
      <c r="C12" s="5" t="n">
        <f aca="false">COUNTIFS('Control Matrix'!$B$2:$B$40,$A12,'Control Matrix'!$F$2:$F$40,"&lt;=2")</f>
        <v>4</v>
      </c>
      <c r="D12" s="5" t="n">
        <f aca="false">COUNTIFS('Control Matrix'!$B$2:$B$40,$A12,'Control Matrix'!$F$2:$F$40,"&lt;=3")</f>
        <v>4</v>
      </c>
      <c r="E12" s="5" t="n">
        <f aca="false">COUNTIFS('Control Matrix'!$B$2:$B$40,$A12,'Control Matrix'!$F$2:$F$40,"&lt;=4")</f>
        <v>4</v>
      </c>
      <c r="F12" s="5" t="n">
        <f aca="false">COUNTIFS('Control Matrix'!$B$2:$B$40,$A12,'Control Matrix'!$M$2:$M$40,"New")</f>
        <v>1</v>
      </c>
      <c r="G12" s="5" t="n">
        <f aca="false">COUNTIFS('Control Matrix'!$B$2:$B$40,$A12,'Control Matrix'!$M$2:$M$40,"Revised")</f>
        <v>2</v>
      </c>
      <c r="H12" s="5" t="n">
        <f aca="false">COUNTIFS('Control Matrix'!$B$2:$B$40,$A12,'Control Matrix'!$M$2:$M$40,"Retained")</f>
        <v>1</v>
      </c>
    </row>
    <row r="13" customFormat="false" ht="15" hidden="false" customHeight="false" outlineLevel="0" collapsed="false">
      <c r="A13" s="17" t="s">
        <v>413</v>
      </c>
      <c r="B13" s="11" t="n">
        <f aca="false">SUM(B4:B12)</f>
        <v>21</v>
      </c>
      <c r="C13" s="11" t="n">
        <f aca="false">SUM(C4:C12)</f>
        <v>35</v>
      </c>
      <c r="D13" s="11" t="n">
        <f aca="false">SUM(D4:D12)</f>
        <v>39</v>
      </c>
      <c r="E13" s="11" t="n">
        <f aca="false">SUM(E4:E12)</f>
        <v>39</v>
      </c>
      <c r="F13" s="11" t="n">
        <f aca="false">SUM(F4:F12)</f>
        <v>10</v>
      </c>
      <c r="G13" s="11" t="n">
        <f aca="false">SUM(G4:G12)</f>
        <v>20</v>
      </c>
      <c r="H13" s="11" t="n">
        <f aca="false">SUM(H4:H12)</f>
        <v>9</v>
      </c>
    </row>
    <row r="15" customFormat="false" ht="15" hidden="false" customHeight="false" outlineLevel="0" collapsed="false">
      <c r="A15" s="7" t="s">
        <v>414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2026-09-27T08:15:54Z</dcterms:created>
  <dc:creator>openpyxl</dc:creator>
  <dc:description/>
  <dc:language>en-US</dc:language>
  <cp:lastModifiedBy/>
  <dcterms:modified xsi:type="dcterms:W3CDTF">2026-09-27T08:15:54Z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